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工作表1" sheetId="1" r:id="rId1"/>
  </sheets>
  <functionGroups builtInGroupCount="18">
    <functionGroup name="xlwings"/>
  </functionGroups>
  <calcPr calcId="152511" concurrentCalc="0"/>
  <extLst>
    <ext xmlns:x14="http://schemas.microsoft.com/office/spreadsheetml/2009/9/main" uri="{8193D73E-4604-4355-AFF4-8A2333D13BE4}">
      <x14:definedNames>
        <x14:definedName name="convert_date">
          <x14:argumentDescriptions count="1">
            <x14:argumentDescription index="0">Positional argument 1</x14:argumentDescription>
          </x14:argumentDescriptions>
        </x14:definedName>
        <x14:definedName name="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ll_name">
          <x14:argumentDescriptions count="1">
            <x14:argumentDescription index="0">Positional argument 1</x14:argumentDescription>
          </x14:argumentDescriptions>
        </x14:definedName>
        <x14:definedName name="plot_etf">
          <x14:argumentDescriptions count="1">
            <x14:argumentDescription index="0">Positional argument 1</x14:argumentDescription>
          </x14:argumentDescriptions>
        </x14:definedName>
        <x14:definedName name="show_co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w_sta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umma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3" i="1" l="1" a="1"/>
  <c r="B3" i="1"/>
  <c r="B4" i="1"/>
  <c r="B5" i="1"/>
  <c r="B6" i="1"/>
  <c r="B7" i="1"/>
  <c r="B8" i="1"/>
  <c r="B9" i="1"/>
  <c r="B10" i="1"/>
  <c r="B11" i="1"/>
  <c r="B12" i="1"/>
  <c r="B13" i="1"/>
  <c r="K3" i="1" a="1"/>
  <c r="K3" i="1"/>
  <c r="L3" i="1"/>
  <c r="M3" i="1"/>
  <c r="N3" i="1"/>
  <c r="O3" i="1"/>
  <c r="P3" i="1"/>
  <c r="Q3" i="1"/>
  <c r="R3" i="1"/>
  <c r="S3" i="1"/>
  <c r="T3" i="1"/>
  <c r="U3" i="1"/>
  <c r="V3" i="1"/>
  <c r="K4" i="1"/>
  <c r="L4" i="1"/>
  <c r="M4" i="1"/>
  <c r="N4" i="1"/>
  <c r="O4" i="1"/>
  <c r="P4" i="1"/>
  <c r="Q4" i="1"/>
  <c r="R4" i="1"/>
  <c r="S4" i="1"/>
  <c r="T4" i="1"/>
  <c r="U4" i="1"/>
  <c r="V4" i="1"/>
  <c r="K5" i="1"/>
  <c r="L5" i="1"/>
  <c r="M5" i="1"/>
  <c r="N5" i="1"/>
  <c r="O5" i="1"/>
  <c r="P5" i="1"/>
  <c r="Q5" i="1"/>
  <c r="R5" i="1"/>
  <c r="S5" i="1"/>
  <c r="T5" i="1"/>
  <c r="U5" i="1"/>
  <c r="V5" i="1"/>
  <c r="K6" i="1"/>
  <c r="L6" i="1"/>
  <c r="M6" i="1"/>
  <c r="N6" i="1"/>
  <c r="O6" i="1"/>
  <c r="P6" i="1"/>
  <c r="Q6" i="1"/>
  <c r="R6" i="1"/>
  <c r="S6" i="1"/>
  <c r="T6" i="1"/>
  <c r="U6" i="1"/>
  <c r="V6" i="1"/>
  <c r="K7" i="1"/>
  <c r="L7" i="1"/>
  <c r="M7" i="1"/>
  <c r="N7" i="1"/>
  <c r="O7" i="1"/>
  <c r="P7" i="1"/>
  <c r="Q7" i="1"/>
  <c r="R7" i="1"/>
  <c r="S7" i="1"/>
  <c r="T7" i="1"/>
  <c r="U7" i="1"/>
  <c r="V7" i="1"/>
  <c r="K8" i="1"/>
  <c r="L8" i="1"/>
  <c r="M8" i="1"/>
  <c r="N8" i="1"/>
  <c r="O8" i="1"/>
  <c r="P8" i="1"/>
  <c r="Q8" i="1"/>
  <c r="R8" i="1"/>
  <c r="S8" i="1"/>
  <c r="T8" i="1"/>
  <c r="U8" i="1"/>
  <c r="V8" i="1"/>
  <c r="K9" i="1"/>
  <c r="L9" i="1"/>
  <c r="M9" i="1"/>
  <c r="N9" i="1"/>
  <c r="O9" i="1"/>
  <c r="P9" i="1"/>
  <c r="Q9" i="1"/>
  <c r="R9" i="1"/>
  <c r="S9" i="1"/>
  <c r="T9" i="1"/>
  <c r="U9" i="1"/>
  <c r="V9" i="1"/>
  <c r="K10" i="1"/>
  <c r="L10" i="1"/>
  <c r="M10" i="1"/>
  <c r="N10" i="1"/>
  <c r="O10" i="1"/>
  <c r="P10" i="1"/>
  <c r="Q10" i="1"/>
  <c r="R10" i="1"/>
  <c r="S10" i="1"/>
  <c r="T10" i="1"/>
  <c r="U10" i="1"/>
  <c r="V10" i="1"/>
  <c r="K11" i="1"/>
  <c r="L11" i="1"/>
  <c r="M11" i="1"/>
  <c r="N11" i="1"/>
  <c r="O11" i="1"/>
  <c r="P11" i="1"/>
  <c r="Q11" i="1"/>
  <c r="R11" i="1"/>
  <c r="S11" i="1"/>
  <c r="T11" i="1"/>
  <c r="U11" i="1"/>
  <c r="V11" i="1"/>
  <c r="K12" i="1"/>
  <c r="L12" i="1"/>
  <c r="M12" i="1"/>
  <c r="N12" i="1"/>
  <c r="O12" i="1"/>
  <c r="P12" i="1"/>
  <c r="Q12" i="1"/>
  <c r="R12" i="1"/>
  <c r="S12" i="1"/>
  <c r="T12" i="1"/>
  <c r="U12" i="1"/>
  <c r="V12" i="1"/>
  <c r="K13" i="1"/>
  <c r="L13" i="1"/>
  <c r="M13" i="1"/>
  <c r="N13" i="1"/>
  <c r="O13" i="1"/>
  <c r="P13" i="1"/>
  <c r="Q13" i="1"/>
  <c r="R13" i="1"/>
  <c r="S13" i="1"/>
  <c r="T13" i="1"/>
  <c r="U13" i="1"/>
  <c r="V13" i="1"/>
  <c r="K14" i="1"/>
  <c r="L14" i="1"/>
  <c r="M14" i="1"/>
  <c r="N14" i="1"/>
  <c r="O14" i="1"/>
  <c r="P14" i="1"/>
  <c r="Q14" i="1"/>
  <c r="R14" i="1"/>
  <c r="S14" i="1"/>
  <c r="T14" i="1"/>
  <c r="U14" i="1"/>
  <c r="V14" i="1"/>
  <c r="K15" i="1"/>
  <c r="L15" i="1"/>
  <c r="M15" i="1"/>
  <c r="N15" i="1"/>
  <c r="O15" i="1"/>
  <c r="P15" i="1"/>
  <c r="Q15" i="1"/>
  <c r="R15" i="1"/>
  <c r="S15" i="1"/>
  <c r="T15" i="1"/>
  <c r="U15" i="1"/>
  <c r="V15" i="1"/>
  <c r="K16" i="1"/>
  <c r="L16" i="1"/>
  <c r="M16" i="1"/>
  <c r="N16" i="1"/>
  <c r="O16" i="1"/>
  <c r="P16" i="1"/>
  <c r="Q16" i="1"/>
  <c r="R16" i="1"/>
  <c r="S16" i="1"/>
  <c r="T16" i="1"/>
  <c r="U16" i="1"/>
  <c r="V16" i="1"/>
  <c r="K17" i="1"/>
  <c r="L17" i="1"/>
  <c r="M17" i="1"/>
  <c r="N17" i="1"/>
  <c r="O17" i="1"/>
  <c r="P17" i="1"/>
  <c r="Q17" i="1"/>
  <c r="R17" i="1"/>
  <c r="S17" i="1"/>
  <c r="T17" i="1"/>
  <c r="U17" i="1"/>
  <c r="V17" i="1"/>
  <c r="K18" i="1"/>
  <c r="L18" i="1"/>
  <c r="M18" i="1"/>
  <c r="N18" i="1"/>
  <c r="O18" i="1"/>
  <c r="P18" i="1"/>
  <c r="Q18" i="1"/>
  <c r="R18" i="1"/>
  <c r="S18" i="1"/>
  <c r="T18" i="1"/>
  <c r="U18" i="1"/>
  <c r="V18" i="1"/>
  <c r="K19" i="1"/>
  <c r="L19" i="1"/>
  <c r="M19" i="1"/>
  <c r="N19" i="1"/>
  <c r="O19" i="1"/>
  <c r="P19" i="1"/>
  <c r="Q19" i="1"/>
  <c r="R19" i="1"/>
  <c r="S19" i="1"/>
  <c r="T19" i="1"/>
  <c r="U19" i="1"/>
  <c r="V19" i="1"/>
  <c r="K20" i="1"/>
  <c r="L20" i="1"/>
  <c r="M20" i="1"/>
  <c r="N20" i="1"/>
  <c r="O20" i="1"/>
  <c r="P20" i="1"/>
  <c r="Q20" i="1"/>
  <c r="R20" i="1"/>
  <c r="S20" i="1"/>
  <c r="T20" i="1"/>
  <c r="U20" i="1"/>
  <c r="V20" i="1"/>
  <c r="K21" i="1"/>
  <c r="L21" i="1"/>
  <c r="M21" i="1"/>
  <c r="N21" i="1"/>
  <c r="O21" i="1"/>
  <c r="P21" i="1"/>
  <c r="Q21" i="1"/>
  <c r="R21" i="1"/>
  <c r="S21" i="1"/>
  <c r="T21" i="1"/>
  <c r="U21" i="1"/>
  <c r="V21" i="1"/>
  <c r="K22" i="1"/>
  <c r="L22" i="1"/>
  <c r="M22" i="1"/>
  <c r="N22" i="1"/>
  <c r="O22" i="1"/>
  <c r="P22" i="1"/>
  <c r="Q22" i="1"/>
  <c r="R22" i="1"/>
  <c r="S22" i="1"/>
  <c r="T22" i="1"/>
  <c r="U22" i="1"/>
  <c r="V22" i="1"/>
  <c r="K23" i="1"/>
  <c r="L23" i="1"/>
  <c r="M23" i="1"/>
  <c r="N23" i="1"/>
  <c r="O23" i="1"/>
  <c r="P23" i="1"/>
  <c r="Q23" i="1"/>
  <c r="R23" i="1"/>
  <c r="S23" i="1"/>
  <c r="T23" i="1"/>
  <c r="U23" i="1"/>
  <c r="V23" i="1"/>
  <c r="K24" i="1"/>
  <c r="L24" i="1"/>
  <c r="M24" i="1"/>
  <c r="N24" i="1"/>
  <c r="O24" i="1"/>
  <c r="P24" i="1"/>
  <c r="Q24" i="1"/>
  <c r="R24" i="1"/>
  <c r="S24" i="1"/>
  <c r="T24" i="1"/>
  <c r="U24" i="1"/>
  <c r="V24" i="1"/>
  <c r="K25" i="1"/>
  <c r="L25" i="1"/>
  <c r="M25" i="1"/>
  <c r="N25" i="1"/>
  <c r="O25" i="1"/>
  <c r="P25" i="1"/>
  <c r="Q25" i="1"/>
  <c r="R25" i="1"/>
  <c r="S25" i="1"/>
  <c r="T25" i="1"/>
  <c r="U25" i="1"/>
  <c r="V25" i="1"/>
  <c r="K26" i="1"/>
  <c r="L26" i="1"/>
  <c r="M26" i="1"/>
  <c r="N26" i="1"/>
  <c r="O26" i="1"/>
  <c r="P26" i="1"/>
  <c r="Q26" i="1"/>
  <c r="R26" i="1"/>
  <c r="S26" i="1"/>
  <c r="T26" i="1"/>
  <c r="U26" i="1"/>
  <c r="V26" i="1"/>
  <c r="K27" i="1"/>
  <c r="L27" i="1"/>
  <c r="M27" i="1"/>
  <c r="N27" i="1"/>
  <c r="O27" i="1"/>
  <c r="P27" i="1"/>
  <c r="Q27" i="1"/>
  <c r="R27" i="1"/>
  <c r="S27" i="1"/>
  <c r="T27" i="1"/>
  <c r="U27" i="1"/>
  <c r="V27" i="1"/>
  <c r="K28" i="1"/>
  <c r="L28" i="1"/>
  <c r="M28" i="1"/>
  <c r="N28" i="1"/>
  <c r="O28" i="1"/>
  <c r="P28" i="1"/>
  <c r="Q28" i="1"/>
  <c r="R28" i="1"/>
  <c r="S28" i="1"/>
  <c r="T28" i="1"/>
  <c r="U28" i="1"/>
  <c r="V28" i="1"/>
  <c r="K29" i="1"/>
  <c r="L29" i="1"/>
  <c r="M29" i="1"/>
  <c r="N29" i="1"/>
  <c r="O29" i="1"/>
  <c r="P29" i="1"/>
  <c r="Q29" i="1"/>
  <c r="R29" i="1"/>
  <c r="S29" i="1"/>
  <c r="T29" i="1"/>
  <c r="U29" i="1"/>
  <c r="V29" i="1"/>
  <c r="K30" i="1"/>
  <c r="L30" i="1"/>
  <c r="M30" i="1"/>
  <c r="N30" i="1"/>
  <c r="O30" i="1"/>
  <c r="P30" i="1"/>
  <c r="Q30" i="1"/>
  <c r="R30" i="1"/>
  <c r="S30" i="1"/>
  <c r="T30" i="1"/>
  <c r="U30" i="1"/>
  <c r="V30" i="1"/>
  <c r="K31" i="1"/>
  <c r="L31" i="1"/>
  <c r="M31" i="1"/>
  <c r="N31" i="1"/>
  <c r="O31" i="1"/>
  <c r="P31" i="1"/>
  <c r="Q31" i="1"/>
  <c r="R31" i="1"/>
  <c r="S31" i="1"/>
  <c r="T31" i="1"/>
  <c r="U31" i="1"/>
  <c r="V31" i="1"/>
  <c r="K32" i="1"/>
  <c r="L32" i="1"/>
  <c r="M32" i="1"/>
  <c r="N32" i="1"/>
  <c r="O32" i="1"/>
  <c r="P32" i="1"/>
  <c r="Q32" i="1"/>
  <c r="R32" i="1"/>
  <c r="S32" i="1"/>
  <c r="T32" i="1"/>
  <c r="U32" i="1"/>
  <c r="V32" i="1"/>
  <c r="K33" i="1"/>
  <c r="L33" i="1"/>
  <c r="M33" i="1"/>
  <c r="N33" i="1"/>
  <c r="O33" i="1"/>
  <c r="P33" i="1"/>
  <c r="Q33" i="1"/>
  <c r="R33" i="1"/>
  <c r="S33" i="1"/>
  <c r="T33" i="1"/>
  <c r="U33" i="1"/>
  <c r="V33" i="1"/>
  <c r="K34" i="1"/>
  <c r="L34" i="1"/>
  <c r="M34" i="1"/>
  <c r="N34" i="1"/>
  <c r="O34" i="1"/>
  <c r="P34" i="1"/>
  <c r="Q34" i="1"/>
  <c r="R34" i="1"/>
  <c r="S34" i="1"/>
  <c r="T34" i="1"/>
  <c r="U34" i="1"/>
  <c r="V34" i="1"/>
  <c r="K35" i="1"/>
  <c r="L35" i="1"/>
  <c r="M35" i="1"/>
  <c r="N35" i="1"/>
  <c r="O35" i="1"/>
  <c r="P35" i="1"/>
  <c r="Q35" i="1"/>
  <c r="R35" i="1"/>
  <c r="S35" i="1"/>
  <c r="T35" i="1"/>
  <c r="U35" i="1"/>
  <c r="V35" i="1"/>
  <c r="K36" i="1"/>
  <c r="L36" i="1"/>
  <c r="M36" i="1"/>
  <c r="N36" i="1"/>
  <c r="O36" i="1"/>
  <c r="P36" i="1"/>
  <c r="Q36" i="1"/>
  <c r="R36" i="1"/>
  <c r="S36" i="1"/>
  <c r="T36" i="1"/>
  <c r="U36" i="1"/>
  <c r="V36" i="1"/>
  <c r="K37" i="1"/>
  <c r="L37" i="1"/>
  <c r="M37" i="1"/>
  <c r="N37" i="1"/>
  <c r="O37" i="1"/>
  <c r="P37" i="1"/>
  <c r="Q37" i="1"/>
  <c r="R37" i="1"/>
  <c r="S37" i="1"/>
  <c r="T37" i="1"/>
  <c r="U37" i="1"/>
  <c r="V37" i="1"/>
  <c r="K38" i="1"/>
  <c r="L38" i="1"/>
  <c r="M38" i="1"/>
  <c r="N38" i="1"/>
  <c r="O38" i="1"/>
  <c r="P38" i="1"/>
  <c r="Q38" i="1"/>
  <c r="R38" i="1"/>
  <c r="S38" i="1"/>
  <c r="T38" i="1"/>
  <c r="U38" i="1"/>
  <c r="V38" i="1"/>
  <c r="K39" i="1"/>
  <c r="L39" i="1"/>
  <c r="M39" i="1"/>
  <c r="N39" i="1"/>
  <c r="O39" i="1"/>
  <c r="P39" i="1"/>
  <c r="Q39" i="1"/>
  <c r="R39" i="1"/>
  <c r="S39" i="1"/>
  <c r="T39" i="1"/>
  <c r="U39" i="1"/>
  <c r="V39" i="1"/>
  <c r="K40" i="1"/>
  <c r="L40" i="1"/>
  <c r="M40" i="1"/>
  <c r="N40" i="1"/>
  <c r="O40" i="1"/>
  <c r="P40" i="1"/>
  <c r="Q40" i="1"/>
  <c r="R40" i="1"/>
  <c r="S40" i="1"/>
  <c r="T40" i="1"/>
  <c r="U40" i="1"/>
  <c r="V40" i="1"/>
  <c r="K41" i="1"/>
  <c r="L41" i="1"/>
  <c r="M41" i="1"/>
  <c r="N41" i="1"/>
  <c r="O41" i="1"/>
  <c r="P41" i="1"/>
  <c r="Q41" i="1"/>
  <c r="R41" i="1"/>
  <c r="S41" i="1"/>
  <c r="T41" i="1"/>
  <c r="U41" i="1"/>
  <c r="V41" i="1"/>
  <c r="K42" i="1"/>
  <c r="L42" i="1"/>
  <c r="M42" i="1"/>
  <c r="N42" i="1"/>
  <c r="O42" i="1"/>
  <c r="P42" i="1"/>
  <c r="Q42" i="1"/>
  <c r="R42" i="1"/>
  <c r="S42" i="1"/>
  <c r="T42" i="1"/>
  <c r="U42" i="1"/>
  <c r="V42" i="1"/>
  <c r="K43" i="1"/>
  <c r="L43" i="1"/>
  <c r="M43" i="1"/>
  <c r="N43" i="1"/>
  <c r="O43" i="1"/>
  <c r="P43" i="1"/>
  <c r="Q43" i="1"/>
  <c r="R43" i="1"/>
  <c r="S43" i="1"/>
  <c r="T43" i="1"/>
  <c r="U43" i="1"/>
  <c r="V43" i="1"/>
  <c r="K44" i="1"/>
  <c r="L44" i="1"/>
  <c r="M44" i="1"/>
  <c r="N44" i="1"/>
  <c r="O44" i="1"/>
  <c r="P44" i="1"/>
  <c r="Q44" i="1"/>
  <c r="R44" i="1"/>
  <c r="S44" i="1"/>
  <c r="T44" i="1"/>
  <c r="U44" i="1"/>
  <c r="V44" i="1"/>
  <c r="K45" i="1"/>
  <c r="L45" i="1"/>
  <c r="M45" i="1"/>
  <c r="N45" i="1"/>
  <c r="O45" i="1"/>
  <c r="P45" i="1"/>
  <c r="Q45" i="1"/>
  <c r="R45" i="1"/>
  <c r="S45" i="1"/>
  <c r="T45" i="1"/>
  <c r="U45" i="1"/>
  <c r="V45" i="1"/>
  <c r="K46" i="1"/>
  <c r="L46" i="1"/>
  <c r="M46" i="1"/>
  <c r="N46" i="1"/>
  <c r="O46" i="1"/>
  <c r="P46" i="1"/>
  <c r="Q46" i="1"/>
  <c r="R46" i="1"/>
  <c r="S46" i="1"/>
  <c r="T46" i="1"/>
  <c r="U46" i="1"/>
  <c r="V46" i="1"/>
  <c r="K47" i="1"/>
  <c r="L47" i="1"/>
  <c r="M47" i="1"/>
  <c r="N47" i="1"/>
  <c r="O47" i="1"/>
  <c r="P47" i="1"/>
  <c r="Q47" i="1"/>
  <c r="R47" i="1"/>
  <c r="S47" i="1"/>
  <c r="T47" i="1"/>
  <c r="U47" i="1"/>
  <c r="V47" i="1"/>
  <c r="K48" i="1"/>
  <c r="L48" i="1"/>
  <c r="M48" i="1"/>
  <c r="N48" i="1"/>
  <c r="O48" i="1"/>
  <c r="P48" i="1"/>
  <c r="Q48" i="1"/>
  <c r="R48" i="1"/>
  <c r="S48" i="1"/>
  <c r="T48" i="1"/>
  <c r="U48" i="1"/>
  <c r="V48" i="1"/>
  <c r="K49" i="1"/>
  <c r="L49" i="1"/>
  <c r="M49" i="1"/>
  <c r="N49" i="1"/>
  <c r="O49" i="1"/>
  <c r="P49" i="1"/>
  <c r="Q49" i="1"/>
  <c r="R49" i="1"/>
  <c r="S49" i="1"/>
  <c r="T49" i="1"/>
  <c r="U49" i="1"/>
  <c r="V49" i="1"/>
  <c r="K50" i="1"/>
  <c r="L50" i="1"/>
  <c r="M50" i="1"/>
  <c r="N50" i="1"/>
  <c r="O50" i="1"/>
  <c r="P50" i="1"/>
  <c r="Q50" i="1"/>
  <c r="R50" i="1"/>
  <c r="S50" i="1"/>
  <c r="T50" i="1"/>
  <c r="U50" i="1"/>
  <c r="V50" i="1"/>
  <c r="K51" i="1"/>
  <c r="L51" i="1"/>
  <c r="M51" i="1"/>
  <c r="N51" i="1"/>
  <c r="O51" i="1"/>
  <c r="P51" i="1"/>
  <c r="Q51" i="1"/>
  <c r="R51" i="1"/>
  <c r="S51" i="1"/>
  <c r="T51" i="1"/>
  <c r="U51" i="1"/>
  <c r="V51" i="1"/>
  <c r="K52" i="1"/>
  <c r="L52" i="1"/>
  <c r="M52" i="1"/>
  <c r="N52" i="1"/>
  <c r="O52" i="1"/>
  <c r="P52" i="1"/>
  <c r="Q52" i="1"/>
  <c r="R52" i="1"/>
  <c r="S52" i="1"/>
  <c r="T52" i="1"/>
  <c r="U52" i="1"/>
  <c r="V52" i="1"/>
  <c r="K53" i="1"/>
  <c r="L53" i="1"/>
  <c r="M53" i="1"/>
  <c r="N53" i="1"/>
  <c r="O53" i="1"/>
  <c r="P53" i="1"/>
  <c r="Q53" i="1"/>
  <c r="R53" i="1"/>
  <c r="S53" i="1"/>
  <c r="T53" i="1"/>
  <c r="U53" i="1"/>
  <c r="V53" i="1"/>
  <c r="K54" i="1"/>
  <c r="L54" i="1"/>
  <c r="M54" i="1"/>
  <c r="N54" i="1"/>
  <c r="O54" i="1"/>
  <c r="P54" i="1"/>
  <c r="Q54" i="1"/>
  <c r="R54" i="1"/>
  <c r="S54" i="1"/>
  <c r="T54" i="1"/>
  <c r="U54" i="1"/>
  <c r="V54" i="1"/>
  <c r="K55" i="1"/>
  <c r="L55" i="1"/>
  <c r="M55" i="1"/>
  <c r="N55" i="1"/>
  <c r="O55" i="1"/>
  <c r="P55" i="1"/>
  <c r="Q55" i="1"/>
  <c r="R55" i="1"/>
  <c r="S55" i="1"/>
  <c r="T55" i="1"/>
  <c r="U55" i="1"/>
  <c r="V55" i="1"/>
  <c r="K56" i="1"/>
  <c r="L56" i="1"/>
  <c r="M56" i="1"/>
  <c r="N56" i="1"/>
  <c r="O56" i="1"/>
  <c r="P56" i="1"/>
  <c r="Q56" i="1"/>
  <c r="R56" i="1"/>
  <c r="S56" i="1"/>
  <c r="T56" i="1"/>
  <c r="U56" i="1"/>
  <c r="V56" i="1"/>
  <c r="K57" i="1"/>
  <c r="L57" i="1"/>
  <c r="M57" i="1"/>
  <c r="N57" i="1"/>
  <c r="O57" i="1"/>
  <c r="P57" i="1"/>
  <c r="Q57" i="1"/>
  <c r="R57" i="1"/>
  <c r="S57" i="1"/>
  <c r="T57" i="1"/>
  <c r="U57" i="1"/>
  <c r="V57" i="1"/>
  <c r="K58" i="1"/>
  <c r="L58" i="1"/>
  <c r="M58" i="1"/>
  <c r="N58" i="1"/>
  <c r="O58" i="1"/>
  <c r="P58" i="1"/>
  <c r="Q58" i="1"/>
  <c r="R58" i="1"/>
  <c r="S58" i="1"/>
  <c r="T58" i="1"/>
  <c r="U58" i="1"/>
  <c r="V58" i="1"/>
  <c r="K59" i="1"/>
  <c r="L59" i="1"/>
  <c r="M59" i="1"/>
  <c r="N59" i="1"/>
  <c r="O59" i="1"/>
  <c r="P59" i="1"/>
  <c r="Q59" i="1"/>
  <c r="R59" i="1"/>
  <c r="S59" i="1"/>
  <c r="T59" i="1"/>
  <c r="U59" i="1"/>
  <c r="V59" i="1"/>
  <c r="K60" i="1"/>
  <c r="L60" i="1"/>
  <c r="M60" i="1"/>
  <c r="N60" i="1"/>
  <c r="O60" i="1"/>
  <c r="P60" i="1"/>
  <c r="Q60" i="1"/>
  <c r="R60" i="1"/>
  <c r="S60" i="1"/>
  <c r="T60" i="1"/>
  <c r="U60" i="1"/>
  <c r="V60" i="1"/>
  <c r="K61" i="1"/>
  <c r="L61" i="1"/>
  <c r="M61" i="1"/>
  <c r="N61" i="1"/>
  <c r="O61" i="1"/>
  <c r="P61" i="1"/>
  <c r="Q61" i="1"/>
  <c r="R61" i="1"/>
  <c r="S61" i="1"/>
  <c r="T61" i="1"/>
  <c r="U61" i="1"/>
  <c r="V61" i="1"/>
  <c r="D52" i="1"/>
  <c r="D40" i="1"/>
  <c r="D42" i="1" a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</calcChain>
</file>

<file path=xl/sharedStrings.xml><?xml version="1.0" encoding="utf-8"?>
<sst xmlns="http://schemas.openxmlformats.org/spreadsheetml/2006/main" count="20" uniqueCount="20">
  <si>
    <t>Symbols</t>
    <phoneticPr fontId="2" type="noConversion"/>
  </si>
  <si>
    <t>ETF name</t>
    <phoneticPr fontId="2" type="noConversion"/>
  </si>
  <si>
    <t>XIU.TO</t>
  </si>
  <si>
    <t>Start Date</t>
    <phoneticPr fontId="2" type="noConversion"/>
  </si>
  <si>
    <t>End Date</t>
    <phoneticPr fontId="2" type="noConversion"/>
  </si>
  <si>
    <t>ETF Prices</t>
    <phoneticPr fontId="2" type="noConversion"/>
  </si>
  <si>
    <t>ETF selection</t>
    <phoneticPr fontId="2" type="noConversion"/>
  </si>
  <si>
    <t>XDV.TO</t>
    <phoneticPr fontId="2" type="noConversion"/>
  </si>
  <si>
    <t>Statistics</t>
    <phoneticPr fontId="2" type="noConversion"/>
  </si>
  <si>
    <t>ETF description</t>
    <phoneticPr fontId="2" type="noConversion"/>
  </si>
  <si>
    <t>ZDV.TO</t>
    <phoneticPr fontId="2" type="noConversion"/>
  </si>
  <si>
    <t>VGRO.TO</t>
    <phoneticPr fontId="2" type="noConversion"/>
  </si>
  <si>
    <t>HXT.TO</t>
    <phoneticPr fontId="2" type="noConversion"/>
  </si>
  <si>
    <t>ZWU.TO</t>
    <phoneticPr fontId="2" type="noConversion"/>
  </si>
  <si>
    <t>VSP.TO</t>
    <phoneticPr fontId="2" type="noConversion"/>
  </si>
  <si>
    <t>VFV.TO</t>
    <phoneticPr fontId="2" type="noConversion"/>
  </si>
  <si>
    <t>XGRO.TO</t>
    <phoneticPr fontId="2" type="noConversion"/>
  </si>
  <si>
    <t>XEI.TO</t>
    <phoneticPr fontId="2" type="noConversion"/>
  </si>
  <si>
    <t>HAL.TO</t>
    <phoneticPr fontId="2" type="noConversion"/>
  </si>
  <si>
    <t>HAL.TO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</si>
</sst>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scheme val="minor"/>
    </font>
    <font>
      <sz val="12"/>
      <color theme="1"/>
      <name val="Calibri"/>
      <family val="2"/>
    </font>
    <font>
      <sz val="9"/>
      <name val="新細明體"/>
      <family val="3"/>
      <charset val="136"/>
      <scheme val="minor"/>
    </font>
    <font>
      <b/>
      <sz val="12"/>
      <color theme="1"/>
      <name val="Calibri"/>
      <family val="2"/>
    </font>
    <font>
      <sz val="12"/>
      <color theme="0"/>
      <name val="Calibri"/>
      <family val="2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" fillId="0" borderId="3" xfId="0" applyFont="1" applyBorder="1"/>
    <xf numFmtId="0" fontId="1" fillId="2" borderId="3" xfId="0" applyFont="1" applyFill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0" fontId="1" fillId="0" borderId="6" xfId="0" applyFont="1" applyBorder="1"/>
    <xf numFmtId="0" fontId="1" fillId="0" borderId="0" xfId="0" applyFont="1" applyAlignment="1">
      <alignment horizontal="center"/>
    </xf>
    <xf numFmtId="0" fontId="4" fillId="4" borderId="7" xfId="0" applyFont="1" applyFill="1" applyBorder="1"/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2" borderId="7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2</xdr:row>
          <xdr:rowOff>142875</xdr:rowOff>
        </xdr:from>
        <xdr:to>
          <xdr:col>5</xdr:col>
          <xdr:colOff>171450</xdr:colOff>
          <xdr:row>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ETF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2</xdr:row>
          <xdr:rowOff>123825</xdr:rowOff>
        </xdr:from>
        <xdr:to>
          <xdr:col>8</xdr:col>
          <xdr:colOff>152400</xdr:colOff>
          <xdr:row>3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1</xdr:rowOff>
    </xdr:from>
    <xdr:to>
      <xdr:col>9</xdr:col>
      <xdr:colOff>232602</xdr:colOff>
      <xdr:row>37</xdr:row>
      <xdr:rowOff>47314</xdr:rowOff>
    </xdr:to>
    <xdr:pic>
      <xdr:nvPicPr>
        <xdr:cNvPr id="5" name="chart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3981451"/>
          <a:ext cx="4347402" cy="381921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8</xdr:col>
      <xdr:colOff>599916</xdr:colOff>
      <xdr:row>19</xdr:row>
      <xdr:rowOff>160728</xdr:rowOff>
    </xdr:to>
    <xdr:pic>
      <xdr:nvPicPr>
        <xdr:cNvPr id="7" name="chart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1047750"/>
          <a:ext cx="4028916" cy="3094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V68"/>
  <sheetViews>
    <sheetView tabSelected="1" workbookViewId="0">
      <selection activeCell="B18" sqref="B18"/>
    </sheetView>
  </sheetViews>
  <sheetFormatPr defaultRowHeight="16.5" x14ac:dyDescent="0.25"/>
  <cols>
    <col min="1" max="1" width="10" bestFit="1" customWidth="1"/>
    <col min="2" max="2" width="27" bestFit="1" customWidth="1"/>
    <col min="11" max="11" width="11.75" customWidth="1"/>
  </cols>
  <sheetData>
    <row r="1" spans="1:22" x14ac:dyDescent="0.25">
      <c r="A1" s="1"/>
      <c r="B1" s="1"/>
      <c r="C1" s="1"/>
      <c r="D1" s="1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5">
      <c r="A2" s="2" t="s">
        <v>0</v>
      </c>
      <c r="B2" s="3" t="s">
        <v>1</v>
      </c>
      <c r="C2" s="1"/>
      <c r="D2" s="23" t="s">
        <v>6</v>
      </c>
      <c r="E2" s="23"/>
      <c r="F2" s="23"/>
      <c r="G2" s="12"/>
      <c r="H2" s="16" t="s">
        <v>19</v>
      </c>
      <c r="I2" s="12"/>
      <c r="J2" s="1"/>
      <c r="K2" s="23" t="s">
        <v>5</v>
      </c>
      <c r="L2" s="23"/>
      <c r="M2" s="23"/>
      <c r="N2" s="23"/>
      <c r="O2" s="23"/>
      <c r="P2" s="23"/>
      <c r="Q2" s="23"/>
      <c r="R2" s="23"/>
      <c r="S2" s="23"/>
      <c r="T2" s="23"/>
      <c r="U2" s="1"/>
      <c r="V2" s="1"/>
    </row>
    <row r="3" spans="1:22" x14ac:dyDescent="0.25">
      <c r="A3" s="4" t="s">
        <v>2</v>
      </c>
      <c r="B3" s="5" t="str">
        <f t="array" ref="B3:B13">full_name(A3)</f>
        <v>iSHARES SP TSX 60 INDEX ETF</v>
      </c>
      <c r="C3" s="1"/>
      <c r="D3" s="11"/>
      <c r="E3" s="11"/>
      <c r="F3" s="11"/>
      <c r="G3" s="11"/>
      <c r="H3" s="11"/>
      <c r="I3" s="11"/>
      <c r="J3" s="11"/>
      <c r="K3" s="1" t="str">
        <f t="array" ref="K3:V61">data(A3,A23,A25)</f>
        <v>date</v>
      </c>
      <c r="L3" s="1" t="str">
        <v>XIU.TO</v>
      </c>
      <c r="M3" s="1" t="str">
        <v>ZWU.TO</v>
      </c>
      <c r="N3" s="1" t="str">
        <v>XDV.TO</v>
      </c>
      <c r="O3" s="1" t="str">
        <v>VGRO.TO</v>
      </c>
      <c r="P3" s="1" t="str">
        <v>HXT.TO</v>
      </c>
      <c r="Q3" s="1" t="str">
        <v>ZDV.TO</v>
      </c>
      <c r="R3" s="1" t="str">
        <v>VSP.TO</v>
      </c>
      <c r="S3" s="1" t="str">
        <v>VFV.TO</v>
      </c>
      <c r="T3" s="1" t="str">
        <v>XGRO.TO</v>
      </c>
      <c r="U3" s="1" t="str">
        <v>XEI.TO</v>
      </c>
      <c r="V3" s="1" t="str">
        <v>HAL.TO</v>
      </c>
    </row>
    <row r="4" spans="1:22" x14ac:dyDescent="0.25">
      <c r="A4" s="4" t="s">
        <v>13</v>
      </c>
      <c r="B4" s="5" t="str">
        <v>BMO COVERED CALL UTILITIES ETF</v>
      </c>
      <c r="C4" s="1"/>
      <c r="D4" s="11"/>
      <c r="E4" s="1"/>
      <c r="F4" s="1"/>
      <c r="G4" s="1"/>
      <c r="H4" s="1"/>
      <c r="I4" s="1"/>
      <c r="J4" s="1"/>
      <c r="K4" s="1" t="str">
        <v>2021-05-03</v>
      </c>
      <c r="L4" s="1">
        <v>28.747913360595703</v>
      </c>
      <c r="M4" s="1">
        <v>12.640804290771484</v>
      </c>
      <c r="N4" s="1">
        <v>28.385581970214844</v>
      </c>
      <c r="O4" s="1">
        <v>30.204141616821289</v>
      </c>
      <c r="P4" s="1">
        <v>44.369998931884766</v>
      </c>
      <c r="Q4" s="1">
        <v>17.984477996826172</v>
      </c>
      <c r="R4" s="1">
        <v>70.001205444335938</v>
      </c>
      <c r="S4" s="1">
        <v>91.128799438476563</v>
      </c>
      <c r="T4" s="1">
        <v>24.264226913452148</v>
      </c>
      <c r="U4" s="1">
        <v>22.703617095947266</v>
      </c>
      <c r="V4" s="1">
        <v>17.876264572143555</v>
      </c>
    </row>
    <row r="5" spans="1:22" x14ac:dyDescent="0.25">
      <c r="A5" s="4" t="s">
        <v>7</v>
      </c>
      <c r="B5" s="5" t="str">
        <v>iSHARES CANADIAN SELECT DIV IND</v>
      </c>
      <c r="C5" s="1"/>
      <c r="D5" s="11"/>
      <c r="E5" s="1"/>
      <c r="F5" s="1"/>
      <c r="G5" s="1"/>
      <c r="H5" s="1"/>
      <c r="I5" s="1"/>
      <c r="J5" s="1"/>
      <c r="K5" s="1" t="str">
        <v>2021-05-04</v>
      </c>
      <c r="L5" s="1">
        <v>28.777711868286133</v>
      </c>
      <c r="M5" s="1">
        <v>12.611177444458008</v>
      </c>
      <c r="N5" s="1">
        <v>28.355775833129883</v>
      </c>
      <c r="O5" s="1">
        <v>30.094671249389648</v>
      </c>
      <c r="P5" s="1">
        <v>44.409999847412109</v>
      </c>
      <c r="Q5" s="1">
        <v>17.984477996826172</v>
      </c>
      <c r="R5" s="1">
        <v>69.542510986328125</v>
      </c>
      <c r="S5" s="1">
        <v>90.749847412109375</v>
      </c>
      <c r="T5" s="1">
        <v>24.144895553588867</v>
      </c>
      <c r="U5" s="1">
        <v>22.743358612060547</v>
      </c>
      <c r="V5" s="1">
        <v>17.846502304077148</v>
      </c>
    </row>
    <row r="6" spans="1:22" x14ac:dyDescent="0.25">
      <c r="A6" s="4" t="s">
        <v>11</v>
      </c>
      <c r="B6" s="5" t="str">
        <v>VANGUARD GROWTH ETF PORTFOLIO</v>
      </c>
      <c r="C6" s="1"/>
      <c r="D6" s="11"/>
      <c r="E6" s="1"/>
      <c r="F6" s="1"/>
      <c r="G6" s="1"/>
      <c r="H6" s="1"/>
      <c r="I6" s="1"/>
      <c r="J6" s="1"/>
      <c r="K6" s="1" t="str">
        <v>2021-05-05</v>
      </c>
      <c r="L6" s="1">
        <v>28.976385116577148</v>
      </c>
      <c r="M6" s="1">
        <v>12.591425895690918</v>
      </c>
      <c r="N6" s="1">
        <v>28.564418792724609</v>
      </c>
      <c r="O6" s="1">
        <v>30.154380798339844</v>
      </c>
      <c r="P6" s="1">
        <v>44.709999084472656</v>
      </c>
      <c r="Q6" s="1">
        <v>18.123506546020508</v>
      </c>
      <c r="R6" s="1">
        <v>69.5823974609375</v>
      </c>
      <c r="S6" s="1">
        <v>90.520477294921875</v>
      </c>
      <c r="T6" s="1">
        <v>24.194616317749023</v>
      </c>
      <c r="U6" s="1">
        <v>22.912269592285156</v>
      </c>
      <c r="V6" s="1">
        <v>17.935785293579102</v>
      </c>
    </row>
    <row r="7" spans="1:22" x14ac:dyDescent="0.25">
      <c r="A7" s="4" t="s">
        <v>12</v>
      </c>
      <c r="B7" s="5" t="str">
        <v>HORIZONS SP TSX60 INDEX ETF</v>
      </c>
      <c r="C7" s="1"/>
      <c r="D7" s="11"/>
      <c r="E7" s="1"/>
      <c r="F7" s="1"/>
      <c r="G7" s="1"/>
      <c r="H7" s="1"/>
      <c r="I7" s="1"/>
      <c r="J7" s="1"/>
      <c r="K7" s="1" t="str">
        <v>2021-05-06</v>
      </c>
      <c r="L7" s="1">
        <v>28.946584701538086</v>
      </c>
      <c r="M7" s="1">
        <v>12.611177444458008</v>
      </c>
      <c r="N7" s="1">
        <v>28.673709869384766</v>
      </c>
      <c r="O7" s="1">
        <v>30.144432067871094</v>
      </c>
      <c r="P7" s="1">
        <v>44.650001525878906</v>
      </c>
      <c r="Q7" s="1">
        <v>18.133438110351563</v>
      </c>
      <c r="R7" s="1">
        <v>70.14080810546875</v>
      </c>
      <c r="S7" s="1">
        <v>90.420753479003906</v>
      </c>
      <c r="T7" s="1">
        <v>24.154840469360352</v>
      </c>
      <c r="U7" s="1">
        <v>22.971887588500977</v>
      </c>
      <c r="V7" s="1">
        <v>17.866344451904297</v>
      </c>
    </row>
    <row r="8" spans="1:22" x14ac:dyDescent="0.25">
      <c r="A8" s="4" t="s">
        <v>10</v>
      </c>
      <c r="B8" s="5" t="str">
        <v>BMO CANADIAN DIVIDEND ETF</v>
      </c>
      <c r="C8" s="1"/>
      <c r="D8" s="11"/>
      <c r="E8" s="1"/>
      <c r="F8" s="1"/>
      <c r="G8" s="1"/>
      <c r="H8" s="1"/>
      <c r="I8" s="1"/>
      <c r="J8" s="1"/>
      <c r="K8" s="1" t="str">
        <v>2021-05-07</v>
      </c>
      <c r="L8" s="1">
        <v>29.204858779907227</v>
      </c>
      <c r="M8" s="1">
        <v>12.621052742004395</v>
      </c>
      <c r="N8" s="1">
        <v>28.773061752319336</v>
      </c>
      <c r="O8" s="1">
        <v>30.293710708618164</v>
      </c>
      <c r="P8" s="1">
        <v>45.090000152587891</v>
      </c>
      <c r="Q8" s="1">
        <v>18.262535095214844</v>
      </c>
      <c r="R8" s="1">
        <v>70.689254760742188</v>
      </c>
      <c r="S8" s="1">
        <v>90.949295043945313</v>
      </c>
      <c r="T8" s="1">
        <v>24.323892593383789</v>
      </c>
      <c r="U8" s="1">
        <v>23.140796661376953</v>
      </c>
      <c r="V8" s="1">
        <v>17.985385894775391</v>
      </c>
    </row>
    <row r="9" spans="1:22" x14ac:dyDescent="0.25">
      <c r="A9" s="4" t="s">
        <v>14</v>
      </c>
      <c r="B9" s="5" t="str">
        <v>VANGUARD SP 500 INDEX ETF CAD H</v>
      </c>
      <c r="C9" s="1"/>
      <c r="D9" s="11"/>
      <c r="E9" s="1"/>
      <c r="F9" s="1"/>
      <c r="G9" s="1"/>
      <c r="H9" s="1"/>
      <c r="I9" s="1"/>
      <c r="J9" s="1"/>
      <c r="K9" s="1" t="str">
        <v>2021-05-10</v>
      </c>
      <c r="L9" s="1">
        <v>29.055854797363281</v>
      </c>
      <c r="M9" s="1">
        <v>12.670430183410645</v>
      </c>
      <c r="N9" s="1">
        <v>28.882352828979492</v>
      </c>
      <c r="O9" s="1">
        <v>29.995151519775391</v>
      </c>
      <c r="P9" s="1">
        <v>44.880001068115234</v>
      </c>
      <c r="Q9" s="1">
        <v>18.292327880859375</v>
      </c>
      <c r="R9" s="1">
        <v>69.961326599121094</v>
      </c>
      <c r="S9" s="1">
        <v>89.692764282226563</v>
      </c>
      <c r="T9" s="1">
        <v>24.085227966308594</v>
      </c>
      <c r="U9" s="1">
        <v>23.130861282348633</v>
      </c>
      <c r="V9" s="1">
        <v>17.955625534057617</v>
      </c>
    </row>
    <row r="10" spans="1:22" x14ac:dyDescent="0.25">
      <c r="A10" s="4" t="s">
        <v>15</v>
      </c>
      <c r="B10" s="5" t="str">
        <v>VANGUARD SP 500 INDEX ETF</v>
      </c>
      <c r="C10" s="1"/>
      <c r="D10" s="11"/>
      <c r="E10" s="1"/>
      <c r="F10" s="1"/>
      <c r="G10" s="1"/>
      <c r="H10" s="1"/>
      <c r="I10" s="1"/>
      <c r="J10" s="1"/>
      <c r="K10" s="1" t="str">
        <v>2021-05-11</v>
      </c>
      <c r="L10" s="1">
        <v>28.956518173217773</v>
      </c>
      <c r="M10" s="1">
        <v>12.640804290771484</v>
      </c>
      <c r="N10" s="1">
        <v>28.693578720092773</v>
      </c>
      <c r="O10" s="1">
        <v>29.806064605712891</v>
      </c>
      <c r="P10" s="1">
        <v>44.669998168945313</v>
      </c>
      <c r="Q10" s="1">
        <v>18.163230895996094</v>
      </c>
      <c r="R10" s="1">
        <v>69.353057861328125</v>
      </c>
      <c r="S10" s="1">
        <v>88.954795837402344</v>
      </c>
      <c r="T10" s="1">
        <v>23.926118850708008</v>
      </c>
      <c r="U10" s="1">
        <v>22.952014923095703</v>
      </c>
      <c r="V10" s="1">
        <v>17.786981582641602</v>
      </c>
    </row>
    <row r="11" spans="1:22" x14ac:dyDescent="0.25">
      <c r="A11" s="4" t="s">
        <v>16</v>
      </c>
      <c r="B11" s="5" t="str">
        <v>ISHARES CORE GROWTH ETF PORTFOL</v>
      </c>
      <c r="C11" s="1"/>
      <c r="D11" s="11"/>
      <c r="E11" s="1"/>
      <c r="F11" s="1"/>
      <c r="G11" s="1"/>
      <c r="H11" s="1"/>
      <c r="I11" s="1"/>
      <c r="J11" s="1"/>
      <c r="K11" s="1" t="str">
        <v>2021-05-12</v>
      </c>
      <c r="L11" s="1">
        <v>28.767778396606445</v>
      </c>
      <c r="M11" s="1">
        <v>12.492670059204102</v>
      </c>
      <c r="N11" s="1">
        <v>28.57435417175293</v>
      </c>
      <c r="O11" s="1">
        <v>29.407985687255859</v>
      </c>
      <c r="P11" s="1">
        <v>44.380001068115234</v>
      </c>
      <c r="Q11" s="1">
        <v>18.053993225097656</v>
      </c>
      <c r="R11" s="1">
        <v>67.907157897949219</v>
      </c>
      <c r="S11" s="1">
        <v>87.329277038574219</v>
      </c>
      <c r="T11" s="1">
        <v>23.597955703735352</v>
      </c>
      <c r="U11" s="1">
        <v>22.872526168823242</v>
      </c>
      <c r="V11" s="1">
        <v>17.677858352661133</v>
      </c>
    </row>
    <row r="12" spans="1:22" x14ac:dyDescent="0.25">
      <c r="A12" s="4" t="s">
        <v>17</v>
      </c>
      <c r="B12" s="5" t="str">
        <v>iSHARES SP TSX COMP HIGH DIV IN</v>
      </c>
      <c r="C12" s="1"/>
      <c r="D12" s="11"/>
      <c r="E12" s="1"/>
      <c r="F12" s="1"/>
      <c r="G12" s="1"/>
      <c r="H12" s="1"/>
      <c r="I12" s="1"/>
      <c r="J12" s="1"/>
      <c r="K12" s="1" t="str">
        <v>2021-05-13</v>
      </c>
      <c r="L12" s="1">
        <v>28.877048492431641</v>
      </c>
      <c r="M12" s="1">
        <v>12.551923751831055</v>
      </c>
      <c r="N12" s="1">
        <v>28.971773147583008</v>
      </c>
      <c r="O12" s="1">
        <v>29.666736602783203</v>
      </c>
      <c r="P12" s="1">
        <v>44.580001831054687</v>
      </c>
      <c r="Q12" s="1">
        <v>18.163230895996094</v>
      </c>
      <c r="R12" s="1">
        <v>68.714866638183594</v>
      </c>
      <c r="S12" s="1">
        <v>88.5858154296875</v>
      </c>
      <c r="T12" s="1">
        <v>23.767009735107422</v>
      </c>
      <c r="U12" s="1">
        <v>22.912269592285156</v>
      </c>
      <c r="V12" s="1">
        <v>17.786981582641602</v>
      </c>
    </row>
    <row r="13" spans="1:22" x14ac:dyDescent="0.25">
      <c r="A13" s="4" t="s">
        <v>18</v>
      </c>
      <c r="B13" s="5" t="str">
        <v>HORIZONS ACTIVE CDN DIVIDEND ET</v>
      </c>
      <c r="C13" s="1"/>
      <c r="D13" s="11"/>
      <c r="E13" s="1"/>
      <c r="F13" s="1"/>
      <c r="G13" s="1"/>
      <c r="H13" s="1"/>
      <c r="I13" s="1"/>
      <c r="J13" s="1"/>
      <c r="K13" s="1" t="str">
        <v>2021-05-14</v>
      </c>
      <c r="L13" s="1">
        <v>29.204858779907227</v>
      </c>
      <c r="M13" s="1">
        <v>12.611177444458008</v>
      </c>
      <c r="N13" s="1">
        <v>29.210224151611328</v>
      </c>
      <c r="O13" s="1">
        <v>29.965295791625977</v>
      </c>
      <c r="P13" s="1">
        <v>45.060001373291016</v>
      </c>
      <c r="Q13" s="1">
        <v>18.332052230834961</v>
      </c>
      <c r="R13" s="1">
        <v>69.771865844726562</v>
      </c>
      <c r="S13" s="1">
        <v>89.632926940917969</v>
      </c>
      <c r="T13" s="1">
        <v>24.045452117919922</v>
      </c>
      <c r="U13" s="1">
        <v>23.19047737121582</v>
      </c>
      <c r="V13" s="1">
        <v>17.965547561645508</v>
      </c>
    </row>
    <row r="14" spans="1:22" x14ac:dyDescent="0.25">
      <c r="A14" s="4"/>
      <c r="B14" s="5"/>
      <c r="C14" s="1"/>
      <c r="D14" s="11"/>
      <c r="E14" s="1"/>
      <c r="F14" s="1"/>
      <c r="G14" s="1"/>
      <c r="H14" s="1"/>
      <c r="I14" s="1"/>
      <c r="J14" s="1"/>
      <c r="K14" s="1" t="str">
        <v>2021-05-17</v>
      </c>
      <c r="L14" s="1">
        <v>29.373729705810547</v>
      </c>
      <c r="M14" s="1">
        <v>12.561799049377441</v>
      </c>
      <c r="N14" s="1">
        <v>29.309577941894531</v>
      </c>
      <c r="O14" s="1">
        <v>29.855823516845703</v>
      </c>
      <c r="P14" s="1">
        <v>45.299999237060547</v>
      </c>
      <c r="Q14" s="1">
        <v>18.381706237792969</v>
      </c>
      <c r="R14" s="1">
        <v>69.572425842285156</v>
      </c>
      <c r="S14" s="1">
        <v>88.994682312011719</v>
      </c>
      <c r="T14" s="1">
        <v>23.965896606445313</v>
      </c>
      <c r="U14" s="1">
        <v>23.30970573425293</v>
      </c>
      <c r="V14" s="1">
        <v>17.985385894775391</v>
      </c>
    </row>
    <row r="15" spans="1:22" x14ac:dyDescent="0.25">
      <c r="A15" s="4"/>
      <c r="B15" s="5"/>
      <c r="C15" s="1"/>
      <c r="D15" s="11"/>
      <c r="E15" s="1"/>
      <c r="F15" s="1"/>
      <c r="G15" s="1"/>
      <c r="H15" s="1"/>
      <c r="I15" s="1"/>
      <c r="J15" s="1"/>
      <c r="K15" s="1" t="str">
        <v>2021-05-18</v>
      </c>
      <c r="L15" s="1">
        <v>29.383663177490234</v>
      </c>
      <c r="M15" s="1">
        <v>12.591425895690918</v>
      </c>
      <c r="N15" s="1">
        <v>29.329450607299805</v>
      </c>
      <c r="O15" s="1">
        <v>29.88568115234375</v>
      </c>
      <c r="P15" s="1">
        <v>45.369998931884766</v>
      </c>
      <c r="Q15" s="1">
        <v>18.391635894775391</v>
      </c>
      <c r="R15" s="1">
        <v>68.974128723144531</v>
      </c>
      <c r="S15" s="1">
        <v>88.226806640625</v>
      </c>
      <c r="T15" s="1">
        <v>23.916173934936523</v>
      </c>
      <c r="U15" s="1">
        <v>23.299772262573242</v>
      </c>
      <c r="V15" s="1">
        <v>18.064746856689453</v>
      </c>
    </row>
    <row r="16" spans="1:22" x14ac:dyDescent="0.25">
      <c r="A16" s="4"/>
      <c r="B16" s="5"/>
      <c r="C16" s="1"/>
      <c r="D16" s="11"/>
      <c r="E16" s="1"/>
      <c r="F16" s="1"/>
      <c r="G16" s="1"/>
      <c r="H16" s="1"/>
      <c r="I16" s="1"/>
      <c r="J16" s="1"/>
      <c r="K16" s="1" t="str">
        <v>2021-05-19</v>
      </c>
      <c r="L16" s="1">
        <v>29.274393081665039</v>
      </c>
      <c r="M16" s="1">
        <v>12.561799049377441</v>
      </c>
      <c r="N16" s="1">
        <v>29.120803833007813</v>
      </c>
      <c r="O16" s="1">
        <v>29.855823516845703</v>
      </c>
      <c r="P16" s="1">
        <v>45.189998626708984</v>
      </c>
      <c r="Q16" s="1">
        <v>18.322120666503906</v>
      </c>
      <c r="R16" s="1">
        <v>68.754745483398438</v>
      </c>
      <c r="S16" s="1">
        <v>88.396339416503906</v>
      </c>
      <c r="T16" s="1">
        <v>23.896286010742188</v>
      </c>
      <c r="U16" s="1">
        <v>23.101053237915039</v>
      </c>
      <c r="V16" s="1">
        <v>17.906023025512695</v>
      </c>
    </row>
    <row r="17" spans="1:22" x14ac:dyDescent="0.25">
      <c r="A17" s="4"/>
      <c r="B17" s="5"/>
      <c r="C17" s="1"/>
      <c r="D17" s="11"/>
      <c r="E17" s="1"/>
      <c r="F17" s="1"/>
      <c r="G17" s="1"/>
      <c r="H17" s="1"/>
      <c r="I17" s="1"/>
      <c r="J17" s="1"/>
      <c r="K17" s="1" t="str">
        <v>2021-05-20</v>
      </c>
      <c r="L17" s="1">
        <v>29.482999801635742</v>
      </c>
      <c r="M17" s="1">
        <v>12.571674346923828</v>
      </c>
      <c r="N17" s="1">
        <v>29.180418014526367</v>
      </c>
      <c r="O17" s="1">
        <v>29.985198974609375</v>
      </c>
      <c r="P17" s="1">
        <v>45.509998321533203</v>
      </c>
      <c r="Q17" s="1">
        <v>18.391635894775391</v>
      </c>
      <c r="R17" s="1">
        <v>69.512596130371094</v>
      </c>
      <c r="S17" s="1">
        <v>88.855072021484375</v>
      </c>
      <c r="T17" s="1">
        <v>24.035507202148437</v>
      </c>
      <c r="U17" s="1">
        <v>23.150732040405273</v>
      </c>
      <c r="V17" s="1">
        <v>17.975467681884766</v>
      </c>
    </row>
    <row r="18" spans="1:22" x14ac:dyDescent="0.25">
      <c r="A18" s="4"/>
      <c r="B18" s="5"/>
      <c r="C18" s="1"/>
      <c r="D18" s="11"/>
      <c r="E18" s="1"/>
      <c r="F18" s="1"/>
      <c r="G18" s="1"/>
      <c r="H18" s="1"/>
      <c r="I18" s="1"/>
      <c r="J18" s="1"/>
      <c r="K18" s="1" t="str">
        <v>2021-05-21</v>
      </c>
      <c r="L18" s="1">
        <v>29.459999084472656</v>
      </c>
      <c r="M18" s="1">
        <v>12.630928993225098</v>
      </c>
      <c r="N18" s="1">
        <v>29.276111602783203</v>
      </c>
      <c r="O18" s="1">
        <v>29.945392608642578</v>
      </c>
      <c r="P18" s="1">
        <v>45.470001220703125</v>
      </c>
      <c r="Q18" s="1">
        <v>18.401567459106445</v>
      </c>
      <c r="R18" s="1">
        <v>69.442794799804688</v>
      </c>
      <c r="S18" s="1">
        <v>88.825157165527344</v>
      </c>
      <c r="T18" s="1">
        <v>24.025562286376953</v>
      </c>
      <c r="U18" s="1">
        <v>23.186618804931641</v>
      </c>
      <c r="V18" s="1">
        <v>17.935785293579102</v>
      </c>
    </row>
    <row r="19" spans="1:22" x14ac:dyDescent="0.25">
      <c r="A19" s="4"/>
      <c r="B19" s="5"/>
      <c r="C19" s="1"/>
      <c r="D19" s="11"/>
      <c r="E19" s="1"/>
      <c r="F19" s="1"/>
      <c r="G19" s="1"/>
      <c r="H19" s="1"/>
      <c r="I19" s="1"/>
      <c r="J19" s="1"/>
      <c r="K19" s="1" t="str">
        <v>2021-05-25</v>
      </c>
      <c r="L19" s="1">
        <v>29.520000457763672</v>
      </c>
      <c r="M19" s="1">
        <v>12.591425895690918</v>
      </c>
      <c r="N19" s="1">
        <v>29.266143798828125</v>
      </c>
      <c r="O19" s="1">
        <v>30.144432067871094</v>
      </c>
      <c r="P19" s="1">
        <v>45.580001831054688</v>
      </c>
      <c r="Q19" s="1">
        <v>18.421426773071289</v>
      </c>
      <c r="R19" s="1">
        <v>70.021156311035156</v>
      </c>
      <c r="S19" s="1">
        <v>89.573089599609375</v>
      </c>
      <c r="T19" s="1">
        <v>24.164783477783203</v>
      </c>
      <c r="U19" s="1">
        <v>23.176651000976562</v>
      </c>
      <c r="V19" s="1">
        <v>17.866344451904297</v>
      </c>
    </row>
    <row r="20" spans="1:22" x14ac:dyDescent="0.25">
      <c r="A20" s="4"/>
      <c r="B20" s="5"/>
      <c r="C20" s="1"/>
      <c r="D20" s="11"/>
      <c r="E20" s="1"/>
      <c r="F20" s="1"/>
      <c r="G20" s="1"/>
      <c r="H20" s="1"/>
      <c r="I20" s="1"/>
      <c r="J20" s="1"/>
      <c r="K20" s="1" t="str">
        <v>2021-05-26</v>
      </c>
      <c r="L20" s="1">
        <v>29.799999237060547</v>
      </c>
      <c r="M20" s="1">
        <v>12.62123966217041</v>
      </c>
      <c r="N20" s="1">
        <v>29.435600280761719</v>
      </c>
      <c r="O20" s="1">
        <v>30.343469619750977</v>
      </c>
      <c r="P20" s="1">
        <v>46.009998321533203</v>
      </c>
      <c r="Q20" s="1">
        <v>18.585859298706055</v>
      </c>
      <c r="R20" s="1">
        <v>70.100929260253906</v>
      </c>
      <c r="S20" s="1">
        <v>90.081695556640625</v>
      </c>
      <c r="T20" s="1">
        <v>24.304004669189453</v>
      </c>
      <c r="U20" s="1">
        <v>23.376020431518555</v>
      </c>
      <c r="V20" s="1">
        <v>18.054828643798828</v>
      </c>
    </row>
    <row r="21" spans="1:22" x14ac:dyDescent="0.25">
      <c r="A21" s="6"/>
      <c r="B21" s="5"/>
      <c r="C21" s="1"/>
      <c r="D21" s="11"/>
      <c r="E21" s="1"/>
      <c r="F21" s="1"/>
      <c r="G21" s="1"/>
      <c r="H21" s="1"/>
      <c r="I21" s="1"/>
      <c r="J21" s="1"/>
      <c r="K21" s="1" t="str">
        <v>2021-05-27</v>
      </c>
      <c r="L21" s="1">
        <v>29.870000839233398</v>
      </c>
      <c r="M21" s="1">
        <v>12.581487655639648</v>
      </c>
      <c r="N21" s="1">
        <v>29.585119247436523</v>
      </c>
      <c r="O21" s="1">
        <v>30.303661346435547</v>
      </c>
      <c r="P21" s="1">
        <v>46.080001831054688</v>
      </c>
      <c r="Q21" s="1">
        <v>18.635688781738281</v>
      </c>
      <c r="R21" s="1">
        <v>70.260475158691406</v>
      </c>
      <c r="S21" s="1">
        <v>89.802467346191406</v>
      </c>
      <c r="T21" s="1">
        <v>24.353725433349609</v>
      </c>
      <c r="U21" s="1">
        <v>23.445798873901367</v>
      </c>
      <c r="V21" s="1">
        <v>18.114349365234375</v>
      </c>
    </row>
    <row r="22" spans="1:22" x14ac:dyDescent="0.25">
      <c r="A22" s="7" t="s">
        <v>3</v>
      </c>
      <c r="B22" s="5"/>
      <c r="C22" s="1"/>
      <c r="D22" s="11"/>
      <c r="E22" s="1"/>
      <c r="F22" s="1"/>
      <c r="G22" s="1"/>
      <c r="H22" s="1"/>
      <c r="I22" s="1"/>
      <c r="J22" s="1"/>
      <c r="K22" s="1" t="str">
        <v>2021-05-28</v>
      </c>
      <c r="L22" s="1">
        <v>29.950000762939453</v>
      </c>
      <c r="M22" s="1">
        <v>12.611301422119141</v>
      </c>
      <c r="N22" s="1">
        <v>29.624990463256836</v>
      </c>
      <c r="O22" s="1">
        <v>30.373325347900391</v>
      </c>
      <c r="P22" s="1">
        <v>46.229999542236328</v>
      </c>
      <c r="Q22" s="1">
        <v>18.705448150634766</v>
      </c>
      <c r="R22" s="1">
        <v>70.280418395996094</v>
      </c>
      <c r="S22" s="1">
        <v>90.051773071289063</v>
      </c>
      <c r="T22" s="1">
        <v>24.363670349121094</v>
      </c>
      <c r="U22" s="1">
        <v>23.505609512329102</v>
      </c>
      <c r="V22" s="1">
        <v>18.144111633300781</v>
      </c>
    </row>
    <row r="23" spans="1:22" x14ac:dyDescent="0.25">
      <c r="A23" s="8">
        <v>44317</v>
      </c>
      <c r="B23" s="5"/>
      <c r="C23" s="1"/>
      <c r="D23" s="11"/>
      <c r="E23" s="1"/>
      <c r="F23" s="1"/>
      <c r="G23" s="1"/>
      <c r="H23" s="1"/>
      <c r="I23" s="1"/>
      <c r="J23" s="1"/>
      <c r="K23" s="1" t="str">
        <v>2021-05-31</v>
      </c>
      <c r="L23" s="1">
        <v>29.739999771118164</v>
      </c>
      <c r="M23" s="1">
        <v>12.63117790222168</v>
      </c>
      <c r="N23" s="1">
        <v>29.565183639526367</v>
      </c>
      <c r="O23" s="1">
        <v>30.363372802734375</v>
      </c>
      <c r="P23" s="1">
        <v>45.900001525878906</v>
      </c>
      <c r="Q23" s="1">
        <v>18.565927505493164</v>
      </c>
      <c r="R23" s="1">
        <v>70.210617065429688</v>
      </c>
      <c r="S23" s="1">
        <v>89.902191162109375</v>
      </c>
      <c r="T23" s="1">
        <v>24.343782424926758</v>
      </c>
      <c r="U23" s="1">
        <v>23.425861358642578</v>
      </c>
      <c r="V23" s="1">
        <v>18.094509124755859</v>
      </c>
    </row>
    <row r="24" spans="1:22" x14ac:dyDescent="0.25">
      <c r="A24" s="7" t="s">
        <v>4</v>
      </c>
      <c r="B24" s="5"/>
      <c r="C24" s="1"/>
      <c r="D24" s="11"/>
      <c r="E24" s="1"/>
      <c r="F24" s="1"/>
      <c r="G24" s="1"/>
      <c r="H24" s="1"/>
      <c r="I24" s="1"/>
      <c r="J24" s="1"/>
      <c r="K24" s="1" t="str">
        <v>2021-06-01</v>
      </c>
      <c r="L24" s="1">
        <v>30.149999618530273</v>
      </c>
      <c r="M24" s="1">
        <v>12.611301422119141</v>
      </c>
      <c r="N24" s="1">
        <v>29.724672317504883</v>
      </c>
      <c r="O24" s="1">
        <v>30.492748260498047</v>
      </c>
      <c r="P24" s="1">
        <v>46.529998779296875</v>
      </c>
      <c r="Q24" s="1">
        <v>18.765241622924805</v>
      </c>
      <c r="R24" s="1">
        <v>70.340248107910156</v>
      </c>
      <c r="S24" s="1">
        <v>89.8922119140625</v>
      </c>
      <c r="T24" s="1">
        <v>24.423336029052734</v>
      </c>
      <c r="U24" s="1">
        <v>23.72491455078125</v>
      </c>
      <c r="V24" s="1">
        <v>18.33259391784668</v>
      </c>
    </row>
    <row r="25" spans="1:22" x14ac:dyDescent="0.25">
      <c r="A25" s="9">
        <v>44403</v>
      </c>
      <c r="B25" s="10"/>
      <c r="C25" s="1"/>
      <c r="D25" s="11"/>
      <c r="E25" s="1"/>
      <c r="F25" s="1"/>
      <c r="G25" s="1"/>
      <c r="H25" s="1"/>
      <c r="I25" s="1"/>
      <c r="J25" s="1"/>
      <c r="K25" s="1" t="str">
        <v>2021-06-02</v>
      </c>
      <c r="L25" s="1">
        <v>30.100000381469727</v>
      </c>
      <c r="M25" s="1">
        <v>12.660991668701172</v>
      </c>
      <c r="N25" s="1">
        <v>29.724672317504883</v>
      </c>
      <c r="O25" s="1">
        <v>30.462892532348633</v>
      </c>
      <c r="P25" s="1">
        <v>46.470001220703125</v>
      </c>
      <c r="Q25" s="1">
        <v>18.765241622924805</v>
      </c>
      <c r="R25" s="1">
        <v>70.27044677734375</v>
      </c>
      <c r="S25" s="1">
        <v>89.772537231445313</v>
      </c>
      <c r="T25" s="1">
        <v>24.403450012207031</v>
      </c>
      <c r="U25" s="1">
        <v>23.774757385253906</v>
      </c>
      <c r="V25" s="1">
        <v>18.282993316650391</v>
      </c>
    </row>
    <row r="26" spans="1:22" x14ac:dyDescent="0.25">
      <c r="C26" s="1"/>
      <c r="D26" s="11"/>
      <c r="E26" s="1"/>
      <c r="F26" s="1"/>
      <c r="G26" s="1"/>
      <c r="H26" s="1"/>
      <c r="I26" s="1"/>
      <c r="J26" s="1"/>
      <c r="K26" s="1" t="str">
        <v>2021-06-03</v>
      </c>
      <c r="L26" s="1">
        <v>30.079999923706055</v>
      </c>
      <c r="M26" s="1">
        <v>12.700743675231934</v>
      </c>
      <c r="N26" s="1">
        <v>29.804416656494141</v>
      </c>
      <c r="O26" s="1">
        <v>30.472845077514648</v>
      </c>
      <c r="P26" s="1">
        <v>46.409999847412109</v>
      </c>
      <c r="Q26" s="1">
        <v>18.815069198608398</v>
      </c>
      <c r="R26" s="1">
        <v>70.021156311035156</v>
      </c>
      <c r="S26" s="1">
        <v>89.981971740722656</v>
      </c>
      <c r="T26" s="1">
        <v>24.463115692138672</v>
      </c>
      <c r="U26" s="1">
        <v>23.844537734985352</v>
      </c>
      <c r="V26" s="1">
        <v>18.302835464477539</v>
      </c>
    </row>
    <row r="27" spans="1:22" x14ac:dyDescent="0.25">
      <c r="C27" s="1"/>
      <c r="D27" s="11"/>
      <c r="E27" s="1"/>
      <c r="F27" s="1"/>
      <c r="G27" s="1"/>
      <c r="H27" s="1"/>
      <c r="I27" s="1"/>
      <c r="J27" s="1"/>
      <c r="K27" s="1" t="str">
        <v>2021-06-04</v>
      </c>
      <c r="L27" s="1">
        <v>30.219999313354492</v>
      </c>
      <c r="M27" s="1">
        <v>12.750433921813965</v>
      </c>
      <c r="N27" s="1">
        <v>29.914064407348633</v>
      </c>
      <c r="O27" s="1">
        <v>30.632076263427734</v>
      </c>
      <c r="P27" s="1">
        <v>46.619998931884766</v>
      </c>
      <c r="Q27" s="1">
        <v>18.884828567504883</v>
      </c>
      <c r="R27" s="1">
        <v>70.739120483398438</v>
      </c>
      <c r="S27" s="1">
        <v>90.590286254882813</v>
      </c>
      <c r="T27" s="1">
        <v>24.542669296264648</v>
      </c>
      <c r="U27" s="1">
        <v>23.984094619750977</v>
      </c>
      <c r="V27" s="1">
        <v>18.33259391784668</v>
      </c>
    </row>
    <row r="28" spans="1:22" x14ac:dyDescent="0.25">
      <c r="C28" s="1"/>
      <c r="D28" s="11"/>
      <c r="E28" s="1"/>
      <c r="F28" s="1"/>
      <c r="G28" s="1"/>
      <c r="H28" s="1"/>
      <c r="I28" s="1"/>
      <c r="J28" s="1"/>
      <c r="K28" s="1" t="str">
        <v>2021-06-07</v>
      </c>
      <c r="L28" s="1">
        <v>30.219999313354492</v>
      </c>
      <c r="M28" s="1">
        <v>12.800124168395996</v>
      </c>
      <c r="N28" s="1">
        <v>29.934001922607422</v>
      </c>
      <c r="O28" s="1">
        <v>30.64202880859375</v>
      </c>
      <c r="P28" s="1">
        <v>46.639999389648438</v>
      </c>
      <c r="Q28" s="1">
        <v>18.874862670898437</v>
      </c>
      <c r="R28" s="1">
        <v>70.699226379394531</v>
      </c>
      <c r="S28" s="1">
        <v>90.560371398925781</v>
      </c>
      <c r="T28" s="1">
        <v>24.552614212036133</v>
      </c>
      <c r="U28" s="1">
        <v>24.0638427734375</v>
      </c>
      <c r="V28" s="1">
        <v>18.372276306152344</v>
      </c>
    </row>
    <row r="29" spans="1:22" x14ac:dyDescent="0.25">
      <c r="C29" s="1"/>
      <c r="D29" s="11"/>
      <c r="E29" s="1"/>
      <c r="F29" s="1"/>
      <c r="G29" s="1"/>
      <c r="H29" s="1"/>
      <c r="I29" s="1"/>
      <c r="J29" s="1"/>
      <c r="K29" s="1" t="str">
        <v>2021-06-08</v>
      </c>
      <c r="L29" s="1">
        <v>30.239999771118164</v>
      </c>
      <c r="M29" s="1">
        <v>12.800124168395996</v>
      </c>
      <c r="N29" s="1">
        <v>29.973873138427734</v>
      </c>
      <c r="O29" s="1">
        <v>30.731594085693359</v>
      </c>
      <c r="P29" s="1">
        <v>46.689998626708984</v>
      </c>
      <c r="Q29" s="1">
        <v>18.894792556762695</v>
      </c>
      <c r="R29" s="1">
        <v>70.699226379394531</v>
      </c>
      <c r="S29" s="1">
        <v>90.819656372070312</v>
      </c>
      <c r="T29" s="1">
        <v>24.632169723510742</v>
      </c>
      <c r="U29" s="1">
        <v>24.113685607910156</v>
      </c>
      <c r="V29" s="1">
        <v>18.491317749023437</v>
      </c>
    </row>
    <row r="30" spans="1:22" x14ac:dyDescent="0.25">
      <c r="C30" s="1"/>
      <c r="D30" s="11"/>
      <c r="E30" s="1"/>
      <c r="F30" s="1"/>
      <c r="G30" s="1"/>
      <c r="H30" s="1"/>
      <c r="I30" s="1"/>
      <c r="J30" s="1"/>
      <c r="K30" s="1" t="str">
        <v>2021-06-09</v>
      </c>
      <c r="L30" s="1">
        <v>30.139999389648438</v>
      </c>
      <c r="M30" s="1">
        <v>12.829937934875488</v>
      </c>
      <c r="N30" s="1">
        <v>29.934001922607422</v>
      </c>
      <c r="O30" s="1">
        <v>30.64202880859375</v>
      </c>
      <c r="P30" s="1">
        <v>46.509998321533203</v>
      </c>
      <c r="Q30" s="1">
        <v>18.835000991821289</v>
      </c>
      <c r="R30" s="1">
        <v>70.599517822265625</v>
      </c>
      <c r="S30" s="1">
        <v>90.660102844238281</v>
      </c>
      <c r="T30" s="1">
        <v>24.652057647705078</v>
      </c>
      <c r="U30" s="1">
        <v>24.0638427734375</v>
      </c>
      <c r="V30" s="1">
        <v>18.491317749023437</v>
      </c>
    </row>
    <row r="31" spans="1:22" x14ac:dyDescent="0.25">
      <c r="C31" s="1"/>
      <c r="D31" s="11"/>
      <c r="E31" s="1"/>
      <c r="F31" s="1"/>
      <c r="G31" s="1"/>
      <c r="H31" s="1"/>
      <c r="I31" s="1"/>
      <c r="J31" s="1"/>
      <c r="K31" s="1" t="str">
        <v>2021-06-10</v>
      </c>
      <c r="L31" s="1">
        <v>30.170000076293945</v>
      </c>
      <c r="M31" s="1">
        <v>12.87962818145752</v>
      </c>
      <c r="N31" s="1">
        <v>29.934001922607422</v>
      </c>
      <c r="O31" s="1">
        <v>30.726619720458984</v>
      </c>
      <c r="P31" s="1">
        <v>46.580001831054688</v>
      </c>
      <c r="Q31" s="1">
        <v>18.835000991821289</v>
      </c>
      <c r="R31" s="1">
        <v>70.918609619140625</v>
      </c>
      <c r="S31" s="1">
        <v>90.949295043945313</v>
      </c>
      <c r="T31" s="1">
        <v>24.622224807739258</v>
      </c>
      <c r="U31" s="1">
        <v>24.073810577392578</v>
      </c>
      <c r="V31" s="1">
        <v>18.560758590698242</v>
      </c>
    </row>
    <row r="32" spans="1:22" x14ac:dyDescent="0.25">
      <c r="C32" s="1"/>
      <c r="D32" s="11"/>
      <c r="E32" s="1"/>
      <c r="F32" s="1"/>
      <c r="G32" s="1"/>
      <c r="H32" s="1"/>
      <c r="I32" s="1"/>
      <c r="J32" s="1"/>
      <c r="K32" s="1" t="str">
        <v>2021-06-11</v>
      </c>
      <c r="L32" s="1">
        <v>30.329999923706055</v>
      </c>
      <c r="M32" s="1">
        <v>12.909440994262695</v>
      </c>
      <c r="N32" s="1">
        <v>30.06358528137207</v>
      </c>
      <c r="O32" s="1">
        <v>30.890827178955078</v>
      </c>
      <c r="P32" s="1">
        <v>46.810001373291016</v>
      </c>
      <c r="Q32" s="1">
        <v>18.904758453369141</v>
      </c>
      <c r="R32" s="1">
        <v>70.928573608398438</v>
      </c>
      <c r="S32" s="1">
        <v>91.577568054199219</v>
      </c>
      <c r="T32" s="1">
        <v>24.771389007568359</v>
      </c>
      <c r="U32" s="1">
        <v>24.173496246337891</v>
      </c>
      <c r="V32" s="1">
        <v>18.699644088745117</v>
      </c>
    </row>
    <row r="33" spans="3:22" x14ac:dyDescent="0.25">
      <c r="C33" s="1"/>
      <c r="D33" s="11"/>
      <c r="E33" s="1"/>
      <c r="F33" s="1"/>
      <c r="G33" s="1"/>
      <c r="H33" s="1"/>
      <c r="I33" s="1"/>
      <c r="J33" s="1"/>
      <c r="K33" s="1" t="str">
        <v>2021-06-14</v>
      </c>
      <c r="L33" s="1">
        <v>30.409999847412109</v>
      </c>
      <c r="M33" s="1">
        <v>12.939255714416504</v>
      </c>
      <c r="N33" s="1">
        <v>29.914064407348633</v>
      </c>
      <c r="O33" s="1">
        <v>30.900777816772461</v>
      </c>
      <c r="P33" s="1">
        <v>46.939998626708984</v>
      </c>
      <c r="Q33" s="1">
        <v>18.884828567504883</v>
      </c>
      <c r="R33" s="1">
        <v>71.167900085449219</v>
      </c>
      <c r="S33" s="1">
        <v>91.597511291503906</v>
      </c>
      <c r="T33" s="1">
        <v>24.771389007568359</v>
      </c>
      <c r="U33" s="1">
        <v>24.143589019775391</v>
      </c>
      <c r="V33" s="1">
        <v>18.570680618286133</v>
      </c>
    </row>
    <row r="34" spans="3:22" x14ac:dyDescent="0.25">
      <c r="C34" s="1"/>
      <c r="D34" s="11"/>
      <c r="E34" s="1"/>
      <c r="F34" s="1"/>
      <c r="G34" s="1"/>
      <c r="H34" s="1"/>
      <c r="I34" s="1"/>
      <c r="J34" s="1"/>
      <c r="K34" s="1" t="str">
        <v>2021-06-15</v>
      </c>
      <c r="L34" s="1">
        <v>30.569999694824219</v>
      </c>
      <c r="M34" s="1">
        <v>13.008821487426758</v>
      </c>
      <c r="N34" s="1">
        <v>30.003776550292969</v>
      </c>
      <c r="O34" s="1">
        <v>30.960489273071289</v>
      </c>
      <c r="P34" s="1">
        <v>47.189998626708984</v>
      </c>
      <c r="Q34" s="1">
        <v>18.994449615478516</v>
      </c>
      <c r="R34" s="1">
        <v>71.028297424316406</v>
      </c>
      <c r="S34" s="1">
        <v>91.786994934082031</v>
      </c>
      <c r="T34" s="1">
        <v>24.821109771728516</v>
      </c>
      <c r="U34" s="1">
        <v>24.313053131103516</v>
      </c>
      <c r="V34" s="1">
        <v>18.719484329223633</v>
      </c>
    </row>
    <row r="35" spans="3:22" x14ac:dyDescent="0.25">
      <c r="C35" s="1"/>
      <c r="D35" s="11"/>
      <c r="E35" s="1"/>
      <c r="F35" s="1"/>
      <c r="G35" s="1"/>
      <c r="H35" s="1"/>
      <c r="I35" s="1"/>
      <c r="J35" s="1"/>
      <c r="K35" s="1" t="str">
        <v>2021-06-16</v>
      </c>
      <c r="L35" s="1">
        <v>30.569999694824219</v>
      </c>
      <c r="M35" s="1">
        <v>12.939255714416504</v>
      </c>
      <c r="N35" s="1">
        <v>30.093490600585937</v>
      </c>
      <c r="O35" s="1">
        <v>30.930633544921875</v>
      </c>
      <c r="P35" s="1">
        <v>47.189998626708984</v>
      </c>
      <c r="Q35" s="1">
        <v>18.954587936401367</v>
      </c>
      <c r="R35" s="1">
        <v>70.629425048828125</v>
      </c>
      <c r="S35" s="1">
        <v>91.846824645996094</v>
      </c>
      <c r="T35" s="1">
        <v>24.801223754882813</v>
      </c>
      <c r="U35" s="1">
        <v>24.293117523193359</v>
      </c>
      <c r="V35" s="1">
        <v>18.679803848266602</v>
      </c>
    </row>
    <row r="36" spans="3:22" x14ac:dyDescent="0.25">
      <c r="C36" s="1"/>
      <c r="D36" s="11"/>
      <c r="E36" s="1"/>
      <c r="F36" s="1"/>
      <c r="G36" s="1"/>
      <c r="H36" s="1"/>
      <c r="I36" s="1"/>
      <c r="J36" s="1"/>
      <c r="K36" s="1" t="str">
        <v>2021-06-17</v>
      </c>
      <c r="L36" s="1">
        <v>30.520000457763672</v>
      </c>
      <c r="M36" s="1">
        <v>12.909440994262695</v>
      </c>
      <c r="N36" s="1">
        <v>29.953935623168945</v>
      </c>
      <c r="O36" s="1">
        <v>31.040105819702148</v>
      </c>
      <c r="P36" s="1">
        <v>47.110000610351563</v>
      </c>
      <c r="Q36" s="1">
        <v>18.844964981079102</v>
      </c>
      <c r="R36" s="1">
        <v>70.599517822265625</v>
      </c>
      <c r="S36" s="1">
        <v>92.564849853515625</v>
      </c>
      <c r="T36" s="1">
        <v>24.890722274780273</v>
      </c>
      <c r="U36" s="1">
        <v>24.023969650268555</v>
      </c>
      <c r="V36" s="1">
        <v>18.431797027587891</v>
      </c>
    </row>
    <row r="37" spans="3:22" x14ac:dyDescent="0.25">
      <c r="C37" s="1"/>
      <c r="D37" s="11"/>
      <c r="E37" s="1"/>
      <c r="F37" s="1"/>
      <c r="G37" s="1"/>
      <c r="H37" s="1"/>
      <c r="I37" s="1"/>
      <c r="J37" s="1"/>
      <c r="K37" s="1" t="str">
        <v>2021-06-18</v>
      </c>
      <c r="L37" s="1">
        <v>30.299999237060547</v>
      </c>
      <c r="M37" s="1">
        <v>12.810062408447266</v>
      </c>
      <c r="N37" s="1">
        <v>29.644927978515625</v>
      </c>
      <c r="O37" s="1">
        <v>30.851018905639648</v>
      </c>
      <c r="P37" s="1">
        <v>46.770000457763672</v>
      </c>
      <c r="Q37" s="1">
        <v>18.685516357421875</v>
      </c>
      <c r="R37" s="1">
        <v>69.642227172851563</v>
      </c>
      <c r="S37" s="1">
        <v>91.846824645996094</v>
      </c>
      <c r="T37" s="1">
        <v>24.731613159179687</v>
      </c>
      <c r="U37" s="1">
        <v>23.784727096557617</v>
      </c>
      <c r="V37" s="1">
        <v>18.342514038085938</v>
      </c>
    </row>
    <row r="38" spans="3:22" x14ac:dyDescent="0.25">
      <c r="C38" s="1"/>
      <c r="D38" s="11"/>
      <c r="E38" s="1"/>
      <c r="F38" s="1"/>
      <c r="G38" s="1"/>
      <c r="H38" s="1"/>
      <c r="I38" s="1"/>
      <c r="J38" s="1"/>
      <c r="K38" s="1" t="str">
        <v>2021-06-21</v>
      </c>
      <c r="L38" s="1">
        <v>30.530000686645508</v>
      </c>
      <c r="M38" s="1">
        <v>12.85975170135498</v>
      </c>
      <c r="N38" s="1">
        <v>29.924034118652344</v>
      </c>
      <c r="O38" s="1">
        <v>31.020200729370117</v>
      </c>
      <c r="P38" s="1">
        <v>47.139999389648438</v>
      </c>
      <c r="Q38" s="1">
        <v>18.795139312744141</v>
      </c>
      <c r="R38" s="1">
        <v>70.699226379394531</v>
      </c>
      <c r="S38" s="1">
        <v>92.634651184082031</v>
      </c>
      <c r="T38" s="1">
        <v>24.850944519042969</v>
      </c>
      <c r="U38" s="1">
        <v>24.073810577392578</v>
      </c>
      <c r="V38" s="1">
        <v>18.560758590698242</v>
      </c>
    </row>
    <row r="39" spans="3:22" x14ac:dyDescent="0.25">
      <c r="C39" s="1"/>
      <c r="D39" s="11"/>
      <c r="E39" s="1"/>
      <c r="F39" s="1"/>
      <c r="G39" s="1"/>
      <c r="H39" s="1"/>
      <c r="I39" s="1"/>
      <c r="J39" s="1"/>
      <c r="K39" s="1" t="str">
        <v>2021-06-22</v>
      </c>
      <c r="L39" s="1">
        <v>30.590000152587891</v>
      </c>
      <c r="M39" s="1">
        <v>12.839876174926758</v>
      </c>
      <c r="N39" s="1">
        <v>29.953935623168945</v>
      </c>
      <c r="O39" s="1">
        <v>31.020200729370117</v>
      </c>
      <c r="P39" s="1">
        <v>47.209999084472656</v>
      </c>
      <c r="Q39" s="1">
        <v>18.805105209350586</v>
      </c>
      <c r="R39" s="1">
        <v>71.038261413574219</v>
      </c>
      <c r="S39" s="1">
        <v>92.754325866699219</v>
      </c>
      <c r="T39" s="1">
        <v>24.860889434814453</v>
      </c>
      <c r="U39" s="1">
        <v>24.083780288696289</v>
      </c>
      <c r="V39" s="1">
        <v>18.610361099243164</v>
      </c>
    </row>
    <row r="40" spans="3:22" x14ac:dyDescent="0.25">
      <c r="C40" s="1"/>
      <c r="D40" s="24" t="str">
        <f>show_com(H2,A3)</f>
        <v>&lt;HORIZONS ACTIVE CDN DIVIDEND ET&gt;</v>
      </c>
      <c r="E40" s="24"/>
      <c r="F40" s="24"/>
      <c r="G40" s="24"/>
      <c r="H40" s="24"/>
      <c r="I40" s="24"/>
      <c r="J40" s="1"/>
      <c r="K40" s="1" t="str">
        <v>2021-06-23</v>
      </c>
      <c r="L40" s="1">
        <v>30.489999771118164</v>
      </c>
      <c r="M40" s="1">
        <v>12.800124168395996</v>
      </c>
      <c r="N40" s="1">
        <v>29.934001922607422</v>
      </c>
      <c r="O40" s="1">
        <v>30.950538635253906</v>
      </c>
      <c r="P40" s="1">
        <v>47.049999237060547</v>
      </c>
      <c r="Q40" s="1">
        <v>18.745309829711914</v>
      </c>
      <c r="R40" s="1">
        <v>71.008346557617188</v>
      </c>
      <c r="S40" s="1">
        <v>92.634651184082031</v>
      </c>
      <c r="T40" s="1">
        <v>24.840999603271484</v>
      </c>
      <c r="U40" s="1">
        <v>24.013999938964844</v>
      </c>
      <c r="V40" s="1">
        <v>18.64012336730957</v>
      </c>
    </row>
    <row r="41" spans="3:22" x14ac:dyDescent="0.25">
      <c r="C41" s="1"/>
      <c r="D41" s="25" t="s">
        <v>8</v>
      </c>
      <c r="E41" s="26"/>
      <c r="F41" s="26"/>
      <c r="G41" s="26"/>
      <c r="H41" s="26"/>
      <c r="I41" s="26"/>
      <c r="J41" s="1"/>
      <c r="K41" s="1" t="str">
        <v>2021-06-24</v>
      </c>
      <c r="L41" s="1">
        <v>30.579999923706055</v>
      </c>
      <c r="M41" s="1">
        <v>12.770310401916504</v>
      </c>
      <c r="N41" s="1">
        <v>29.969999313354492</v>
      </c>
      <c r="O41" s="1">
        <v>31.109769821166992</v>
      </c>
      <c r="P41" s="1">
        <v>47.200000762939453</v>
      </c>
      <c r="Q41" s="1">
        <v>18.795139312744141</v>
      </c>
      <c r="R41" s="1">
        <v>71.407218933105469</v>
      </c>
      <c r="S41" s="1">
        <v>93.262916564941406</v>
      </c>
      <c r="T41" s="1">
        <v>24.969999313354492</v>
      </c>
      <c r="U41" s="1">
        <v>24.040000915527344</v>
      </c>
      <c r="V41" s="1">
        <v>18.650041580200195</v>
      </c>
    </row>
    <row r="42" spans="3:22" x14ac:dyDescent="0.25">
      <c r="C42" s="1"/>
      <c r="D42" s="15" t="str">
        <f t="array" ref="D42:E50">show_stats(H2,K3)</f>
        <v/>
      </c>
      <c r="E42" s="15" t="str">
        <v>HAL.TO</v>
      </c>
      <c r="F42" s="15"/>
      <c r="G42" s="15"/>
      <c r="H42" s="15"/>
      <c r="I42" s="15"/>
      <c r="J42" s="1"/>
      <c r="K42" s="1" t="str">
        <v>2021-06-25</v>
      </c>
      <c r="L42" s="1">
        <v>30.629999160766602</v>
      </c>
      <c r="M42" s="1">
        <v>12.819999694824219</v>
      </c>
      <c r="N42" s="1">
        <v>30.049999237060547</v>
      </c>
      <c r="O42" s="1">
        <v>31.169479370117188</v>
      </c>
      <c r="P42" s="1">
        <v>47.270000457763672</v>
      </c>
      <c r="Q42" s="1">
        <v>18.835000991821289</v>
      </c>
      <c r="R42" s="1">
        <v>71.666481018066406</v>
      </c>
      <c r="S42" s="1">
        <v>93.392562866210938</v>
      </c>
      <c r="T42" s="1">
        <v>24.979999542236328</v>
      </c>
      <c r="U42" s="1">
        <v>24.079999923706055</v>
      </c>
      <c r="V42" s="1">
        <v>18.669881820678711</v>
      </c>
    </row>
    <row r="43" spans="3:22" x14ac:dyDescent="0.25">
      <c r="C43" s="1"/>
      <c r="D43" s="4" t="str">
        <v>count</v>
      </c>
      <c r="E43" s="13">
        <v>58</v>
      </c>
      <c r="F43" s="14"/>
      <c r="G43" s="14"/>
      <c r="H43" s="14"/>
      <c r="I43" s="14"/>
      <c r="J43" s="1"/>
      <c r="K43" s="1" t="str">
        <v>2021-06-28</v>
      </c>
      <c r="L43" s="1">
        <v>30.479999542236328</v>
      </c>
      <c r="M43" s="1">
        <v>12.840000152587891</v>
      </c>
      <c r="N43" s="1">
        <v>29.790000915527344</v>
      </c>
      <c r="O43" s="1">
        <v>31.179431915283203</v>
      </c>
      <c r="P43" s="1">
        <v>47.069999694824219</v>
      </c>
      <c r="Q43" s="1">
        <v>18.75</v>
      </c>
      <c r="R43" s="1">
        <v>71.83599853515625</v>
      </c>
      <c r="S43" s="1">
        <v>93.96099853515625</v>
      </c>
      <c r="T43" s="1">
        <v>25.010000228881836</v>
      </c>
      <c r="U43" s="1">
        <v>23.889999389648437</v>
      </c>
      <c r="V43" s="1">
        <v>18.531000137329102</v>
      </c>
    </row>
    <row r="44" spans="3:22" x14ac:dyDescent="0.25">
      <c r="D44" s="4" t="str">
        <v>mean</v>
      </c>
      <c r="E44" s="13">
        <v>18.356338073467388</v>
      </c>
      <c r="F44" s="14"/>
      <c r="G44" s="14"/>
      <c r="H44" s="14"/>
      <c r="I44" s="14"/>
      <c r="K44" s="1" t="str">
        <v>2021-06-29</v>
      </c>
      <c r="L44" s="1">
        <v>30.549999237060547</v>
      </c>
      <c r="M44" s="1">
        <v>12.770000457763672</v>
      </c>
      <c r="N44" s="1">
        <v>29.700000762939453</v>
      </c>
      <c r="O44" s="1">
        <v>31.268999099731445</v>
      </c>
      <c r="P44" s="1">
        <v>47.180000305175781</v>
      </c>
      <c r="Q44" s="1">
        <v>18.799999237060547</v>
      </c>
      <c r="R44" s="1">
        <v>71.80999755859375</v>
      </c>
      <c r="S44" s="1">
        <v>94.330001831054688</v>
      </c>
      <c r="T44" s="1">
        <v>25.069999694824219</v>
      </c>
      <c r="U44" s="1">
        <v>23.899999618530273</v>
      </c>
      <c r="V44" s="1">
        <v>18.659999847412109</v>
      </c>
    </row>
    <row r="45" spans="3:22" x14ac:dyDescent="0.25">
      <c r="D45" s="4" t="str">
        <v>std</v>
      </c>
      <c r="E45" s="13">
        <v>0.34226311797952852</v>
      </c>
      <c r="F45" s="14"/>
      <c r="G45" s="14"/>
      <c r="H45" s="14"/>
      <c r="I45" s="14"/>
      <c r="K45" s="1" t="str">
        <v>2021-06-30</v>
      </c>
      <c r="L45" s="1">
        <v>30.530000686645508</v>
      </c>
      <c r="M45" s="1">
        <v>12.770000457763672</v>
      </c>
      <c r="N45" s="1">
        <v>29.75</v>
      </c>
      <c r="O45" s="1">
        <v>31.25</v>
      </c>
      <c r="P45" s="1">
        <v>47.119998931884766</v>
      </c>
      <c r="Q45" s="1">
        <v>18.809999465942383</v>
      </c>
      <c r="R45" s="1">
        <v>72</v>
      </c>
      <c r="S45" s="1">
        <v>94.550003051757813</v>
      </c>
      <c r="T45" s="1">
        <v>25.059999465942383</v>
      </c>
      <c r="U45" s="1">
        <v>23.969999313354492</v>
      </c>
      <c r="V45" s="1">
        <v>18.670000076293945</v>
      </c>
    </row>
    <row r="46" spans="3:22" x14ac:dyDescent="0.25">
      <c r="D46" s="4" t="str">
        <v>min</v>
      </c>
      <c r="E46" s="13">
        <v>17.677858352661133</v>
      </c>
      <c r="F46" s="14"/>
      <c r="G46" s="14"/>
      <c r="H46" s="14"/>
      <c r="I46" s="14"/>
      <c r="K46" s="1" t="str">
        <v>2021-07-02</v>
      </c>
      <c r="L46" s="1">
        <v>30.610000610351563</v>
      </c>
      <c r="M46" s="1">
        <v>12.840000152587891</v>
      </c>
      <c r="N46" s="1">
        <v>29.809999465942383</v>
      </c>
      <c r="O46" s="1">
        <v>31.290000915527344</v>
      </c>
      <c r="P46" s="1">
        <v>47.259998321533203</v>
      </c>
      <c r="Q46" s="1">
        <v>18.860000610351563</v>
      </c>
      <c r="R46" s="1">
        <v>72.80999755859375</v>
      </c>
      <c r="S46" s="1">
        <v>95.129997253417969</v>
      </c>
      <c r="T46" s="1">
        <v>25.110000610351563</v>
      </c>
      <c r="U46" s="1">
        <v>24.030000686645508</v>
      </c>
      <c r="V46" s="1">
        <v>18.809999465942383</v>
      </c>
    </row>
    <row r="47" spans="3:22" x14ac:dyDescent="0.25">
      <c r="D47" s="4" t="str">
        <v>25%</v>
      </c>
      <c r="E47" s="13">
        <v>18.00274658203125</v>
      </c>
      <c r="F47" s="14"/>
      <c r="G47" s="14"/>
      <c r="H47" s="14"/>
      <c r="I47" s="14"/>
      <c r="K47" s="1" t="str">
        <v>2021-07-05</v>
      </c>
      <c r="L47" s="1">
        <v>30.709999084472656</v>
      </c>
      <c r="M47" s="1">
        <v>12.899999618530273</v>
      </c>
      <c r="N47" s="1">
        <v>29.870000839233398</v>
      </c>
      <c r="O47" s="1">
        <v>31.399999618530273</v>
      </c>
      <c r="P47" s="1">
        <v>47.400001525878906</v>
      </c>
      <c r="Q47" s="1">
        <v>18.899999618530273</v>
      </c>
      <c r="R47" s="1">
        <v>72.739997863769531</v>
      </c>
      <c r="S47" s="1">
        <v>95.569999694824219</v>
      </c>
      <c r="T47" s="1">
        <v>25.200000762939453</v>
      </c>
      <c r="U47" s="1">
        <v>24.170000076293945</v>
      </c>
      <c r="V47" s="1">
        <v>18.870000839233398</v>
      </c>
    </row>
    <row r="48" spans="3:22" x14ac:dyDescent="0.25">
      <c r="D48" s="4" t="str">
        <v>50%</v>
      </c>
      <c r="E48" s="13">
        <v>18.460898399353027</v>
      </c>
      <c r="F48" s="14"/>
      <c r="G48" s="14"/>
      <c r="H48" s="14"/>
      <c r="I48" s="14"/>
      <c r="K48" s="1" t="str">
        <v>2021-07-06</v>
      </c>
      <c r="L48" s="1">
        <v>30.760000228881836</v>
      </c>
      <c r="M48" s="1">
        <v>12.880000114440918</v>
      </c>
      <c r="N48" s="1">
        <v>29.75</v>
      </c>
      <c r="O48" s="1">
        <v>31.450000762939453</v>
      </c>
      <c r="P48" s="1">
        <v>47.5</v>
      </c>
      <c r="Q48" s="1">
        <v>18.860000610351563</v>
      </c>
      <c r="R48" s="1">
        <v>72.730003356933594</v>
      </c>
      <c r="S48" s="1">
        <v>96.040000915527344</v>
      </c>
      <c r="T48" s="1">
        <v>25.239999771118164</v>
      </c>
      <c r="U48" s="1">
        <v>24.049999237060547</v>
      </c>
      <c r="V48" s="1">
        <v>18.770000457763672</v>
      </c>
    </row>
    <row r="49" spans="4:22" x14ac:dyDescent="0.25">
      <c r="D49" s="4" t="str">
        <v>75%</v>
      </c>
      <c r="E49" s="13">
        <v>18.650031089782715</v>
      </c>
      <c r="F49" s="14"/>
      <c r="G49" s="14"/>
      <c r="H49" s="14"/>
      <c r="I49" s="14"/>
      <c r="K49" s="1" t="str">
        <v>2021-07-07</v>
      </c>
      <c r="L49" s="1">
        <v>30.780000686645508</v>
      </c>
      <c r="M49" s="1">
        <v>12.880000114440918</v>
      </c>
      <c r="N49" s="1">
        <v>29.739999771118164</v>
      </c>
      <c r="O49" s="1">
        <v>31.540000915527344</v>
      </c>
      <c r="P49" s="1">
        <v>47.5</v>
      </c>
      <c r="Q49" s="1">
        <v>18.899999618530273</v>
      </c>
      <c r="R49" s="1">
        <v>72.930000305175781</v>
      </c>
      <c r="S49" s="1">
        <v>96.529998779296875</v>
      </c>
      <c r="T49" s="1">
        <v>25.319999694824219</v>
      </c>
      <c r="U49" s="1">
        <v>23.989999771118164</v>
      </c>
      <c r="V49" s="1">
        <v>18.739999771118164</v>
      </c>
    </row>
    <row r="50" spans="4:22" x14ac:dyDescent="0.25">
      <c r="D50" s="17" t="str">
        <v>max</v>
      </c>
      <c r="E50" s="18">
        <v>18.870000839233398</v>
      </c>
      <c r="F50" s="19"/>
      <c r="G50" s="19"/>
      <c r="H50" s="19"/>
      <c r="I50" s="19"/>
      <c r="K50" s="1" t="str">
        <v>2021-07-08</v>
      </c>
      <c r="L50" s="1">
        <v>30.409999847412109</v>
      </c>
      <c r="M50" s="1">
        <v>12.869999885559082</v>
      </c>
      <c r="N50" s="1">
        <v>29.530000686645508</v>
      </c>
      <c r="O50" s="1">
        <v>31.319999694824219</v>
      </c>
      <c r="P50" s="1">
        <v>46.950000762939453</v>
      </c>
      <c r="Q50" s="1">
        <v>18.770000457763672</v>
      </c>
      <c r="R50" s="1">
        <v>72.349998474121094</v>
      </c>
      <c r="S50" s="1">
        <v>96.029998779296875</v>
      </c>
      <c r="T50" s="1">
        <v>25.159999847412109</v>
      </c>
      <c r="U50" s="1">
        <v>23.850000381469727</v>
      </c>
      <c r="V50" s="1">
        <v>18.610000610351563</v>
      </c>
    </row>
    <row r="51" spans="4:22" x14ac:dyDescent="0.25">
      <c r="D51" s="25" t="s">
        <v>9</v>
      </c>
      <c r="E51" s="26"/>
      <c r="F51" s="26"/>
      <c r="G51" s="26"/>
      <c r="H51" s="26"/>
      <c r="I51" s="26"/>
      <c r="K51" s="1" t="str">
        <v>2021-07-09</v>
      </c>
      <c r="L51" s="1">
        <v>30.700000762939453</v>
      </c>
      <c r="M51" s="1">
        <v>12.909999847412109</v>
      </c>
      <c r="N51" s="1">
        <v>29.780000686645508</v>
      </c>
      <c r="O51" s="1">
        <v>31.469999313354492</v>
      </c>
      <c r="P51" s="1">
        <v>47.400001525878906</v>
      </c>
      <c r="Q51" s="1">
        <v>18.899999618530273</v>
      </c>
      <c r="R51" s="1">
        <v>73.139999389648438</v>
      </c>
      <c r="S51" s="1">
        <v>96.480003356933594</v>
      </c>
      <c r="T51" s="1">
        <v>25.299999237060547</v>
      </c>
      <c r="U51" s="1">
        <v>24.049999237060547</v>
      </c>
      <c r="V51" s="1">
        <v>18.819999694824219</v>
      </c>
    </row>
    <row r="52" spans="4:22" x14ac:dyDescent="0.25">
      <c r="D52" s="20" t="str">
        <f>summary(H2)</f>
        <v>No Business Summary for this ETF</v>
      </c>
      <c r="E52" s="20"/>
      <c r="F52" s="20"/>
      <c r="G52" s="20"/>
      <c r="H52" s="20"/>
      <c r="I52" s="20"/>
      <c r="K52" s="1" t="str">
        <v>2021-07-12</v>
      </c>
      <c r="L52" s="1">
        <v>30.690000534057617</v>
      </c>
      <c r="M52" s="1">
        <v>12.930000305175781</v>
      </c>
      <c r="N52" s="1">
        <v>29.860000610351563</v>
      </c>
      <c r="O52" s="1">
        <v>31.540000915527344</v>
      </c>
      <c r="P52" s="1">
        <v>47.389999389648438</v>
      </c>
      <c r="Q52" s="1">
        <v>18.920000076293945</v>
      </c>
      <c r="R52" s="1">
        <v>73.389999389648438</v>
      </c>
      <c r="S52" s="1">
        <v>96.870002746582031</v>
      </c>
      <c r="T52" s="1">
        <v>25.350000381469727</v>
      </c>
      <c r="U52" s="1">
        <v>24.069999694824219</v>
      </c>
      <c r="V52" s="1">
        <v>18.809999465942383</v>
      </c>
    </row>
    <row r="53" spans="4:22" x14ac:dyDescent="0.25">
      <c r="D53" s="21"/>
      <c r="E53" s="21"/>
      <c r="F53" s="21"/>
      <c r="G53" s="21"/>
      <c r="H53" s="21"/>
      <c r="I53" s="21"/>
      <c r="K53" s="1" t="str">
        <v>2021-07-13</v>
      </c>
      <c r="L53" s="1">
        <v>30.790000915527344</v>
      </c>
      <c r="M53" s="1">
        <v>12.909999847412109</v>
      </c>
      <c r="N53" s="1">
        <v>29.860000610351563</v>
      </c>
      <c r="O53" s="1">
        <v>31.569999694824219</v>
      </c>
      <c r="P53" s="1">
        <v>47.529998779296875</v>
      </c>
      <c r="Q53" s="1">
        <v>18.950000762939453</v>
      </c>
      <c r="R53" s="1">
        <v>73.160003662109375</v>
      </c>
      <c r="S53" s="1">
        <v>97.010002136230469</v>
      </c>
      <c r="T53" s="1">
        <v>25.350000381469727</v>
      </c>
      <c r="U53" s="1">
        <v>24.069999694824219</v>
      </c>
      <c r="V53" s="1">
        <v>18.780000686645508</v>
      </c>
    </row>
    <row r="54" spans="4:22" x14ac:dyDescent="0.25">
      <c r="D54" s="21"/>
      <c r="E54" s="21"/>
      <c r="F54" s="21"/>
      <c r="G54" s="21"/>
      <c r="H54" s="21"/>
      <c r="I54" s="21"/>
      <c r="K54" s="1" t="str">
        <v>2021-07-14</v>
      </c>
      <c r="L54" s="1">
        <v>30.579999923706055</v>
      </c>
      <c r="M54" s="1">
        <v>12.920000076293945</v>
      </c>
      <c r="N54" s="1">
        <v>29.870000839233398</v>
      </c>
      <c r="O54" s="1">
        <v>31.520000457763672</v>
      </c>
      <c r="P54" s="1">
        <v>47.220001220703125</v>
      </c>
      <c r="Q54" s="1">
        <v>18.899999618530273</v>
      </c>
      <c r="R54" s="1">
        <v>73.260002136230469</v>
      </c>
      <c r="S54" s="1">
        <v>97.099998474121094</v>
      </c>
      <c r="T54" s="1">
        <v>25.329999923706055</v>
      </c>
      <c r="U54" s="1">
        <v>23.959999084472656</v>
      </c>
      <c r="V54" s="1">
        <v>18.700000762939453</v>
      </c>
    </row>
    <row r="55" spans="4:22" x14ac:dyDescent="0.25">
      <c r="D55" s="21"/>
      <c r="E55" s="21"/>
      <c r="F55" s="21"/>
      <c r="G55" s="21"/>
      <c r="H55" s="21"/>
      <c r="I55" s="21"/>
      <c r="K55" s="1" t="str">
        <v>2021-07-15</v>
      </c>
      <c r="L55" s="1">
        <v>30.690000534057617</v>
      </c>
      <c r="M55" s="1">
        <v>12.949999809265137</v>
      </c>
      <c r="N55" s="1">
        <v>29.870000839233398</v>
      </c>
      <c r="O55" s="1">
        <v>31.620000839233398</v>
      </c>
      <c r="P55" s="1">
        <v>47.360000610351562</v>
      </c>
      <c r="Q55" s="1">
        <v>18.950000762939453</v>
      </c>
      <c r="R55" s="1">
        <v>72.989997863769531</v>
      </c>
      <c r="S55" s="1">
        <v>97.470001220703125</v>
      </c>
      <c r="T55" s="1">
        <v>25.370000839233398</v>
      </c>
      <c r="U55" s="1">
        <v>23.930000305175781</v>
      </c>
      <c r="V55" s="1">
        <v>18.649999618530273</v>
      </c>
    </row>
    <row r="56" spans="4:22" x14ac:dyDescent="0.25">
      <c r="D56" s="21"/>
      <c r="E56" s="21"/>
      <c r="F56" s="21"/>
      <c r="G56" s="21"/>
      <c r="H56" s="21"/>
      <c r="I56" s="21"/>
      <c r="K56" s="1" t="str">
        <v>2021-07-16</v>
      </c>
      <c r="L56" s="1">
        <v>30.379999160766602</v>
      </c>
      <c r="M56" s="1">
        <v>12.979999542236328</v>
      </c>
      <c r="N56" s="1">
        <v>29.760000228881836</v>
      </c>
      <c r="O56" s="1">
        <v>31.434999465942383</v>
      </c>
      <c r="P56" s="1">
        <v>46.900001525878906</v>
      </c>
      <c r="Q56" s="1">
        <v>18.840000152587891</v>
      </c>
      <c r="R56" s="1">
        <v>72.459999084472656</v>
      </c>
      <c r="S56" s="1">
        <v>96.830001831054687</v>
      </c>
      <c r="T56" s="1">
        <v>25.229999542236328</v>
      </c>
      <c r="U56" s="1">
        <v>23.739999771118164</v>
      </c>
      <c r="V56" s="1">
        <v>18.489999771118164</v>
      </c>
    </row>
    <row r="57" spans="4:22" x14ac:dyDescent="0.25">
      <c r="D57" s="21"/>
      <c r="E57" s="21"/>
      <c r="F57" s="21"/>
      <c r="G57" s="21"/>
      <c r="H57" s="21"/>
      <c r="I57" s="21"/>
      <c r="K57" s="1" t="str">
        <v>2021-07-19</v>
      </c>
      <c r="L57" s="1">
        <v>30.030000686645508</v>
      </c>
      <c r="M57" s="1">
        <v>12.899999618530273</v>
      </c>
      <c r="N57" s="1">
        <v>29.25</v>
      </c>
      <c r="O57" s="1">
        <v>31.260000228881836</v>
      </c>
      <c r="P57" s="1">
        <v>46.349998474121094</v>
      </c>
      <c r="Q57" s="1">
        <v>18.569999694824219</v>
      </c>
      <c r="R57" s="1">
        <v>71.300003051757813</v>
      </c>
      <c r="S57" s="1">
        <v>96.330001831054687</v>
      </c>
      <c r="T57" s="1">
        <v>25.090000152587891</v>
      </c>
      <c r="U57" s="1">
        <v>23.309999465942383</v>
      </c>
      <c r="V57" s="1">
        <v>18.110000610351563</v>
      </c>
    </row>
    <row r="58" spans="4:22" x14ac:dyDescent="0.25">
      <c r="D58" s="21"/>
      <c r="E58" s="21"/>
      <c r="F58" s="21"/>
      <c r="G58" s="21"/>
      <c r="H58" s="21"/>
      <c r="I58" s="21"/>
      <c r="K58" s="1" t="str">
        <v>2021-07-20</v>
      </c>
      <c r="L58" s="1">
        <v>30.319999694824219</v>
      </c>
      <c r="M58" s="1">
        <v>12.949999809265137</v>
      </c>
      <c r="N58" s="1">
        <v>29.450000762939453</v>
      </c>
      <c r="O58" s="1">
        <v>31.479999542236328</v>
      </c>
      <c r="P58" s="1">
        <v>46.799999237060547</v>
      </c>
      <c r="Q58" s="1">
        <v>18.680000305175781</v>
      </c>
      <c r="R58" s="1">
        <v>72.430000305175781</v>
      </c>
      <c r="S58" s="1">
        <v>97.279998779296875</v>
      </c>
      <c r="T58" s="1">
        <v>25.280000686645508</v>
      </c>
      <c r="U58" s="1">
        <v>23.459999084472656</v>
      </c>
      <c r="V58" s="1">
        <v>18.379999160766602</v>
      </c>
    </row>
    <row r="59" spans="4:22" x14ac:dyDescent="0.25">
      <c r="D59" s="21"/>
      <c r="E59" s="21"/>
      <c r="F59" s="21"/>
      <c r="G59" s="21"/>
      <c r="H59" s="21"/>
      <c r="I59" s="21"/>
      <c r="K59" s="1" t="str">
        <v>2021-07-21</v>
      </c>
      <c r="L59" s="1">
        <v>30.540000915527344</v>
      </c>
      <c r="M59" s="1">
        <v>12.939999580383301</v>
      </c>
      <c r="N59" s="1">
        <v>29.629999160766602</v>
      </c>
      <c r="O59" s="1">
        <v>31.549999237060547</v>
      </c>
      <c r="P59" s="1">
        <v>47.130001068115234</v>
      </c>
      <c r="Q59" s="1">
        <v>18.760000228881836</v>
      </c>
      <c r="R59" s="1">
        <v>73</v>
      </c>
      <c r="S59" s="1">
        <v>97.180000305175781</v>
      </c>
      <c r="T59" s="1">
        <v>25.340000152587891</v>
      </c>
      <c r="U59" s="1">
        <v>23.620000839233398</v>
      </c>
      <c r="V59" s="1">
        <v>18.530000686645508</v>
      </c>
    </row>
    <row r="60" spans="4:22" x14ac:dyDescent="0.25">
      <c r="D60" s="21"/>
      <c r="E60" s="21"/>
      <c r="F60" s="21"/>
      <c r="G60" s="21"/>
      <c r="H60" s="21"/>
      <c r="I60" s="21"/>
      <c r="K60" s="1" t="str">
        <v>2021-07-22</v>
      </c>
      <c r="L60" s="1">
        <v>30.549999237060547</v>
      </c>
      <c r="M60" s="1">
        <v>12.949999809265137</v>
      </c>
      <c r="N60" s="1">
        <v>29.569999694824219</v>
      </c>
      <c r="O60" s="1">
        <v>31.575000762939453</v>
      </c>
      <c r="P60" s="1">
        <v>47.139999389648438</v>
      </c>
      <c r="Q60" s="1">
        <v>18.739999771118164</v>
      </c>
      <c r="R60" s="1">
        <v>73.160003662109375</v>
      </c>
      <c r="S60" s="1">
        <v>97.389999389648437</v>
      </c>
      <c r="T60" s="1">
        <v>25.340000152587891</v>
      </c>
      <c r="U60" s="1">
        <v>23.590000152587891</v>
      </c>
      <c r="V60" s="1">
        <v>18.549999237060547</v>
      </c>
    </row>
    <row r="61" spans="4:22" x14ac:dyDescent="0.25">
      <c r="D61" s="21"/>
      <c r="E61" s="21"/>
      <c r="F61" s="21"/>
      <c r="G61" s="21"/>
      <c r="H61" s="21"/>
      <c r="I61" s="21"/>
      <c r="K61" s="1" t="str">
        <v>2021-07-23</v>
      </c>
      <c r="L61" s="1">
        <v>30.739999771118164</v>
      </c>
      <c r="M61" s="1">
        <v>13</v>
      </c>
      <c r="N61" s="1">
        <v>29.690000534057617</v>
      </c>
      <c r="O61" s="1">
        <v>31.739999771118164</v>
      </c>
      <c r="P61" s="1">
        <v>47.430000305175781</v>
      </c>
      <c r="Q61" s="1">
        <v>18.780000686645508</v>
      </c>
      <c r="R61" s="1">
        <v>73.889999389648438</v>
      </c>
      <c r="S61" s="1">
        <v>98.400001525878906</v>
      </c>
      <c r="T61" s="1">
        <v>25.5</v>
      </c>
      <c r="U61" s="1">
        <v>23.649999618530273</v>
      </c>
      <c r="V61" s="1">
        <v>18.620000839233398</v>
      </c>
    </row>
    <row r="62" spans="4:22" x14ac:dyDescent="0.25">
      <c r="D62" s="21"/>
      <c r="E62" s="21"/>
      <c r="F62" s="21"/>
      <c r="G62" s="21"/>
      <c r="H62" s="21"/>
      <c r="I62" s="2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</row>
    <row r="63" spans="4:22" x14ac:dyDescent="0.25">
      <c r="D63" s="21"/>
      <c r="E63" s="21"/>
      <c r="F63" s="21"/>
      <c r="G63" s="21"/>
      <c r="H63" s="21"/>
      <c r="I63" s="2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4:22" x14ac:dyDescent="0.25">
      <c r="D64" s="21"/>
      <c r="E64" s="21"/>
      <c r="F64" s="21"/>
      <c r="G64" s="21"/>
      <c r="H64" s="21"/>
      <c r="I64" s="2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4:22" x14ac:dyDescent="0.25">
      <c r="D65" s="21"/>
      <c r="E65" s="21"/>
      <c r="F65" s="21"/>
      <c r="G65" s="21"/>
      <c r="H65" s="21"/>
      <c r="I65" s="2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</row>
    <row r="66" spans="4:22" x14ac:dyDescent="0.25">
      <c r="D66" s="21"/>
      <c r="E66" s="21"/>
      <c r="F66" s="21"/>
      <c r="G66" s="21"/>
      <c r="H66" s="21"/>
      <c r="I66" s="2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</row>
    <row r="67" spans="4:22" x14ac:dyDescent="0.25">
      <c r="D67" s="21"/>
      <c r="E67" s="21"/>
      <c r="F67" s="21"/>
      <c r="G67" s="21"/>
      <c r="H67" s="21"/>
      <c r="I67" s="2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</row>
    <row r="68" spans="4:22" x14ac:dyDescent="0.25">
      <c r="D68" s="22"/>
      <c r="E68" s="22"/>
      <c r="F68" s="22"/>
      <c r="G68" s="22"/>
      <c r="H68" s="22"/>
      <c r="I68" s="22"/>
    </row>
  </sheetData>
  <mergeCells count="6">
    <mergeCell ref="D52:I68"/>
    <mergeCell ref="D2:F2"/>
    <mergeCell ref="K2:T2"/>
    <mergeCell ref="D40:I40"/>
    <mergeCell ref="D41:I41"/>
    <mergeCell ref="D51:I51"/>
  </mergeCells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lotETF">
                <anchor moveWithCells="1" sizeWithCells="1">
                  <from>
                    <xdr:col>3</xdr:col>
                    <xdr:colOff>466725</xdr:colOff>
                    <xdr:row>2</xdr:row>
                    <xdr:rowOff>142875</xdr:rowOff>
                  </from>
                  <to>
                    <xdr:col>5</xdr:col>
                    <xdr:colOff>171450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lotCorr">
                <anchor moveWithCells="1" sizeWithCells="1">
                  <from>
                    <xdr:col>6</xdr:col>
                    <xdr:colOff>438150</xdr:colOff>
                    <xdr:row>2</xdr:row>
                    <xdr:rowOff>123825</xdr:rowOff>
                  </from>
                  <to>
                    <xdr:col>8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2021-07-26T14:48:28Z</dcterms:modified>
</cp:coreProperties>
</file>